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Initialization/"/>
    </mc:Choice>
  </mc:AlternateContent>
  <xr:revisionPtr revIDLastSave="43" documentId="13_ncr:1_{B1D6A5FD-4CDD-42B0-A661-6C983058ECCA}" xr6:coauthVersionLast="47" xr6:coauthVersionMax="47" xr10:uidLastSave="{A7AD348F-D0D0-4B20-832E-611EC6D6B137}"/>
  <bookViews>
    <workbookView xWindow="-108" yWindow="-108" windowWidth="23256" windowHeight="12456" firstSheet="9" activeTab="11" xr2:uid="{F816666B-8010-4ADE-8B18-3F610D40B064}"/>
  </bookViews>
  <sheets>
    <sheet name="README" sheetId="2" r:id="rId1"/>
    <sheet name="sAntonio" sheetId="1" r:id="rId2"/>
    <sheet name="UIT slurry senza acidi" sheetId="3" r:id="rId3"/>
    <sheet name="UIT slurry e mais continui" sheetId="4" r:id="rId4"/>
    <sheet name="UIT slurry mais tomato" sheetId="5" r:id="rId5"/>
    <sheet name="Sgo" sheetId="6" r:id="rId6"/>
    <sheet name="UIT slurry mais tomato 26.10" sheetId="7" r:id="rId7"/>
    <sheet name="UIT slurry mais tomato 11.01.24" sheetId="9" r:id="rId8"/>
    <sheet name="Batch inoculum" sheetId="10" r:id="rId9"/>
    <sheet name="UIT slurry mais tomato 24.01.24" sheetId="11" r:id="rId10"/>
    <sheet name="UIT slurry mais tomato 13.11.24" sheetId="12" r:id="rId11"/>
    <sheet name="UIT slurry mais tomato Carlo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3" l="1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4" i="13"/>
  <c r="W3" i="13"/>
  <c r="B49" i="13"/>
  <c r="B50" i="13"/>
  <c r="B51" i="13"/>
  <c r="B48" i="13"/>
  <c r="H48" i="13" s="1"/>
  <c r="L53" i="13"/>
  <c r="H51" i="13"/>
  <c r="L51" i="13" s="1"/>
  <c r="P42" i="13" s="1"/>
  <c r="R42" i="13" s="1"/>
  <c r="T42" i="13" s="1"/>
  <c r="H50" i="13"/>
  <c r="H49" i="13"/>
  <c r="J49" i="13" s="1"/>
  <c r="J47" i="13"/>
  <c r="I47" i="13"/>
  <c r="B46" i="13"/>
  <c r="H46" i="13" s="1"/>
  <c r="B45" i="13"/>
  <c r="H45" i="13" s="1"/>
  <c r="P44" i="13"/>
  <c r="R44" i="13" s="1"/>
  <c r="T44" i="13" s="1"/>
  <c r="B44" i="13"/>
  <c r="H44" i="13" s="1"/>
  <c r="B43" i="13"/>
  <c r="H43" i="13" s="1"/>
  <c r="J42" i="13"/>
  <c r="I42" i="13"/>
  <c r="J41" i="13"/>
  <c r="I41" i="13"/>
  <c r="B40" i="13"/>
  <c r="H40" i="13" s="1"/>
  <c r="L40" i="13" s="1"/>
  <c r="P34" i="13" s="1"/>
  <c r="R34" i="13" s="1"/>
  <c r="T34" i="13" s="1"/>
  <c r="B39" i="13"/>
  <c r="H39" i="13" s="1"/>
  <c r="B38" i="13"/>
  <c r="H38" i="13" s="1"/>
  <c r="B37" i="13"/>
  <c r="H37" i="13" s="1"/>
  <c r="B36" i="13"/>
  <c r="H36" i="13" s="1"/>
  <c r="L36" i="13" s="1"/>
  <c r="P30" i="13" s="1"/>
  <c r="R30" i="13" s="1"/>
  <c r="T30" i="13" s="1"/>
  <c r="B35" i="13"/>
  <c r="H35" i="13" s="1"/>
  <c r="B34" i="13"/>
  <c r="H34" i="13" s="1"/>
  <c r="B33" i="13"/>
  <c r="H33" i="13" s="1"/>
  <c r="B32" i="13"/>
  <c r="H32" i="13" s="1"/>
  <c r="L32" i="13" s="1"/>
  <c r="P26" i="13" s="1"/>
  <c r="R26" i="13" s="1"/>
  <c r="T26" i="13" s="1"/>
  <c r="J31" i="13"/>
  <c r="I31" i="13"/>
  <c r="B30" i="13"/>
  <c r="H30" i="13" s="1"/>
  <c r="B29" i="13"/>
  <c r="H29" i="13" s="1"/>
  <c r="L29" i="13" s="1"/>
  <c r="P24" i="13" s="1"/>
  <c r="R24" i="13" s="1"/>
  <c r="T24" i="13" s="1"/>
  <c r="J28" i="13"/>
  <c r="I28" i="13"/>
  <c r="B27" i="13"/>
  <c r="H27" i="13" s="1"/>
  <c r="B26" i="13"/>
  <c r="H26" i="13" s="1"/>
  <c r="L26" i="13" s="1"/>
  <c r="P22" i="13" s="1"/>
  <c r="R22" i="13" s="1"/>
  <c r="T22" i="13" s="1"/>
  <c r="B25" i="13"/>
  <c r="H25" i="13" s="1"/>
  <c r="B24" i="13"/>
  <c r="H24" i="13" s="1"/>
  <c r="B23" i="13"/>
  <c r="H23" i="13" s="1"/>
  <c r="B22" i="13"/>
  <c r="H22" i="13" s="1"/>
  <c r="L22" i="13" s="1"/>
  <c r="P18" i="13" s="1"/>
  <c r="R18" i="13" s="1"/>
  <c r="T18" i="13" s="1"/>
  <c r="B21" i="13"/>
  <c r="H21" i="13" s="1"/>
  <c r="B20" i="13"/>
  <c r="H20" i="13" s="1"/>
  <c r="J19" i="13"/>
  <c r="I19" i="13"/>
  <c r="B19" i="13"/>
  <c r="H16" i="13" s="1"/>
  <c r="L16" i="13" s="1"/>
  <c r="P15" i="13" s="1"/>
  <c r="R15" i="13" s="1"/>
  <c r="T15" i="13" s="1"/>
  <c r="J18" i="13"/>
  <c r="I18" i="13"/>
  <c r="B18" i="13"/>
  <c r="H15" i="13" s="1"/>
  <c r="J17" i="13"/>
  <c r="I17" i="13"/>
  <c r="B17" i="13"/>
  <c r="B16" i="13"/>
  <c r="B15" i="13"/>
  <c r="B14" i="13"/>
  <c r="B13" i="13"/>
  <c r="B12" i="13"/>
  <c r="H12" i="13" s="1"/>
  <c r="L12" i="13" s="1"/>
  <c r="P11" i="13" s="1"/>
  <c r="R11" i="13" s="1"/>
  <c r="T11" i="13" s="1"/>
  <c r="B11" i="13"/>
  <c r="H11" i="13" s="1"/>
  <c r="J11" i="13" s="1"/>
  <c r="J10" i="13"/>
  <c r="I10" i="13"/>
  <c r="B9" i="13"/>
  <c r="H9" i="13" s="1"/>
  <c r="L9" i="13" s="1"/>
  <c r="P9" i="13" s="1"/>
  <c r="R9" i="13" s="1"/>
  <c r="T9" i="13" s="1"/>
  <c r="H8" i="13"/>
  <c r="I8" i="13" s="1"/>
  <c r="B8" i="13"/>
  <c r="B7" i="13"/>
  <c r="H7" i="13" s="1"/>
  <c r="B6" i="13"/>
  <c r="H6" i="13" s="1"/>
  <c r="B5" i="13"/>
  <c r="H5" i="13" s="1"/>
  <c r="L5" i="13" s="1"/>
  <c r="P5" i="13" s="1"/>
  <c r="R5" i="13" s="1"/>
  <c r="T5" i="13" s="1"/>
  <c r="B4" i="13"/>
  <c r="H4" i="13" s="1"/>
  <c r="B3" i="13"/>
  <c r="H3" i="13" s="1"/>
  <c r="J2" i="13"/>
  <c r="W52" i="12"/>
  <c r="W49" i="12"/>
  <c r="W50" i="12"/>
  <c r="W51" i="12"/>
  <c r="W48" i="12"/>
  <c r="W47" i="12"/>
  <c r="W42" i="12"/>
  <c r="W44" i="12"/>
  <c r="W45" i="12"/>
  <c r="W46" i="12"/>
  <c r="W4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3" i="12"/>
  <c r="I4" i="12"/>
  <c r="I7" i="12"/>
  <c r="I10" i="12"/>
  <c r="I12" i="12"/>
  <c r="I15" i="12"/>
  <c r="I16" i="12"/>
  <c r="I17" i="12"/>
  <c r="I18" i="12"/>
  <c r="I19" i="12"/>
  <c r="I20" i="12"/>
  <c r="I21" i="12"/>
  <c r="I24" i="12"/>
  <c r="I28" i="12"/>
  <c r="I31" i="12"/>
  <c r="I32" i="12"/>
  <c r="I41" i="12"/>
  <c r="I42" i="12"/>
  <c r="I47" i="12"/>
  <c r="I3" i="12"/>
  <c r="L53" i="12"/>
  <c r="P44" i="12" s="1"/>
  <c r="R44" i="12" s="1"/>
  <c r="T44" i="12" s="1"/>
  <c r="B51" i="12"/>
  <c r="H51" i="12" s="1"/>
  <c r="L51" i="12" s="1"/>
  <c r="P42" i="12" s="1"/>
  <c r="R42" i="12" s="1"/>
  <c r="T42" i="12" s="1"/>
  <c r="B50" i="12"/>
  <c r="H50" i="12" s="1"/>
  <c r="I50" i="12" s="1"/>
  <c r="B49" i="12"/>
  <c r="H49" i="12" s="1"/>
  <c r="I49" i="12" s="1"/>
  <c r="B48" i="12"/>
  <c r="H48" i="12" s="1"/>
  <c r="L48" i="12" s="1"/>
  <c r="P39" i="12" s="1"/>
  <c r="R39" i="12" s="1"/>
  <c r="T39" i="12" s="1"/>
  <c r="J47" i="12"/>
  <c r="B46" i="12"/>
  <c r="H46" i="12" s="1"/>
  <c r="I46" i="12" s="1"/>
  <c r="B45" i="12"/>
  <c r="H45" i="12" s="1"/>
  <c r="I45" i="12" s="1"/>
  <c r="B44" i="12"/>
  <c r="H44" i="12" s="1"/>
  <c r="L44" i="12" s="1"/>
  <c r="P36" i="12" s="1"/>
  <c r="R36" i="12" s="1"/>
  <c r="T36" i="12" s="1"/>
  <c r="B43" i="12"/>
  <c r="H43" i="12" s="1"/>
  <c r="I43" i="12" s="1"/>
  <c r="J42" i="12"/>
  <c r="J41" i="12"/>
  <c r="B40" i="12"/>
  <c r="H40" i="12" s="1"/>
  <c r="L40" i="12" s="1"/>
  <c r="P34" i="12" s="1"/>
  <c r="R34" i="12" s="1"/>
  <c r="T34" i="12" s="1"/>
  <c r="B39" i="12"/>
  <c r="H39" i="12" s="1"/>
  <c r="J39" i="12" s="1"/>
  <c r="B38" i="12"/>
  <c r="H38" i="12" s="1"/>
  <c r="I38" i="12" s="1"/>
  <c r="B37" i="12"/>
  <c r="H37" i="12" s="1"/>
  <c r="B36" i="12"/>
  <c r="H36" i="12" s="1"/>
  <c r="I36" i="12" s="1"/>
  <c r="B35" i="12"/>
  <c r="H35" i="12" s="1"/>
  <c r="I35" i="12" s="1"/>
  <c r="B34" i="12"/>
  <c r="H34" i="12" s="1"/>
  <c r="I34" i="12" s="1"/>
  <c r="B33" i="12"/>
  <c r="H33" i="12" s="1"/>
  <c r="I33" i="12" s="1"/>
  <c r="B32" i="12"/>
  <c r="H32" i="12" s="1"/>
  <c r="J31" i="12"/>
  <c r="B30" i="12"/>
  <c r="H30" i="12" s="1"/>
  <c r="I30" i="12" s="1"/>
  <c r="B29" i="12"/>
  <c r="H29" i="12" s="1"/>
  <c r="I29" i="12" s="1"/>
  <c r="J28" i="12"/>
  <c r="H27" i="12"/>
  <c r="L27" i="12" s="1"/>
  <c r="P23" i="12" s="1"/>
  <c r="R23" i="12" s="1"/>
  <c r="T23" i="12" s="1"/>
  <c r="B27" i="12"/>
  <c r="B26" i="12"/>
  <c r="H26" i="12" s="1"/>
  <c r="I26" i="12" s="1"/>
  <c r="B25" i="12"/>
  <c r="H25" i="12" s="1"/>
  <c r="I25" i="12" s="1"/>
  <c r="B24" i="12"/>
  <c r="H24" i="12" s="1"/>
  <c r="B23" i="12"/>
  <c r="H23" i="12" s="1"/>
  <c r="I23" i="12" s="1"/>
  <c r="B22" i="12"/>
  <c r="H22" i="12" s="1"/>
  <c r="I22" i="12" s="1"/>
  <c r="B21" i="12"/>
  <c r="H21" i="12" s="1"/>
  <c r="J21" i="12" s="1"/>
  <c r="B20" i="12"/>
  <c r="H20" i="12" s="1"/>
  <c r="J19" i="12"/>
  <c r="B19" i="12"/>
  <c r="H16" i="12" s="1"/>
  <c r="L16" i="12" s="1"/>
  <c r="P15" i="12" s="1"/>
  <c r="R15" i="12" s="1"/>
  <c r="T15" i="12" s="1"/>
  <c r="J18" i="12"/>
  <c r="B18" i="12"/>
  <c r="H15" i="12" s="1"/>
  <c r="J17" i="12"/>
  <c r="B17" i="12"/>
  <c r="B16" i="12"/>
  <c r="B15" i="12"/>
  <c r="B14" i="12"/>
  <c r="B13" i="12"/>
  <c r="H12" i="12"/>
  <c r="L12" i="12" s="1"/>
  <c r="P11" i="12" s="1"/>
  <c r="R11" i="12" s="1"/>
  <c r="T11" i="12" s="1"/>
  <c r="B12" i="12"/>
  <c r="B11" i="12"/>
  <c r="H11" i="12" s="1"/>
  <c r="J10" i="12"/>
  <c r="B9" i="12"/>
  <c r="H9" i="12" s="1"/>
  <c r="I9" i="12" s="1"/>
  <c r="H8" i="12"/>
  <c r="L8" i="12" s="1"/>
  <c r="P8" i="12" s="1"/>
  <c r="R8" i="12" s="1"/>
  <c r="T8" i="12" s="1"/>
  <c r="B8" i="12"/>
  <c r="B7" i="12"/>
  <c r="H7" i="12" s="1"/>
  <c r="B6" i="12"/>
  <c r="H6" i="12" s="1"/>
  <c r="B5" i="12"/>
  <c r="H5" i="12" s="1"/>
  <c r="I5" i="12" s="1"/>
  <c r="H4" i="12"/>
  <c r="L4" i="12" s="1"/>
  <c r="P4" i="12" s="1"/>
  <c r="R4" i="12" s="1"/>
  <c r="T4" i="12" s="1"/>
  <c r="B4" i="12"/>
  <c r="B3" i="12"/>
  <c r="H3" i="12" s="1"/>
  <c r="J2" i="12"/>
  <c r="L53" i="11"/>
  <c r="P44" i="11" s="1"/>
  <c r="R44" i="11" s="1"/>
  <c r="T44" i="11" s="1"/>
  <c r="B51" i="11"/>
  <c r="H51" i="11" s="1"/>
  <c r="L51" i="11" s="1"/>
  <c r="P42" i="11" s="1"/>
  <c r="R42" i="11" s="1"/>
  <c r="T42" i="11" s="1"/>
  <c r="B50" i="11"/>
  <c r="H50" i="11" s="1"/>
  <c r="H49" i="11"/>
  <c r="L49" i="11" s="1"/>
  <c r="P40" i="11" s="1"/>
  <c r="R40" i="11" s="1"/>
  <c r="T40" i="11" s="1"/>
  <c r="B49" i="11"/>
  <c r="B48" i="11"/>
  <c r="H48" i="11" s="1"/>
  <c r="L48" i="11" s="1"/>
  <c r="P39" i="11" s="1"/>
  <c r="R39" i="11" s="1"/>
  <c r="T39" i="11" s="1"/>
  <c r="J47" i="11"/>
  <c r="B46" i="11"/>
  <c r="H46" i="11" s="1"/>
  <c r="B45" i="11"/>
  <c r="H45" i="11" s="1"/>
  <c r="B44" i="11"/>
  <c r="H44" i="11" s="1"/>
  <c r="L44" i="11" s="1"/>
  <c r="P36" i="11" s="1"/>
  <c r="R36" i="11" s="1"/>
  <c r="T36" i="11" s="1"/>
  <c r="B43" i="11"/>
  <c r="H43" i="11" s="1"/>
  <c r="J42" i="11"/>
  <c r="J41" i="11"/>
  <c r="B40" i="11"/>
  <c r="H40" i="11" s="1"/>
  <c r="B39" i="11"/>
  <c r="H39" i="11" s="1"/>
  <c r="J39" i="11" s="1"/>
  <c r="B38" i="11"/>
  <c r="H38" i="11" s="1"/>
  <c r="H37" i="11"/>
  <c r="L37" i="11" s="1"/>
  <c r="P31" i="11" s="1"/>
  <c r="R31" i="11" s="1"/>
  <c r="T31" i="11" s="1"/>
  <c r="B37" i="11"/>
  <c r="B36" i="11"/>
  <c r="H36" i="11" s="1"/>
  <c r="B35" i="11"/>
  <c r="H35" i="11" s="1"/>
  <c r="B34" i="11"/>
  <c r="H34" i="11" s="1"/>
  <c r="B33" i="11"/>
  <c r="H33" i="11" s="1"/>
  <c r="B32" i="11"/>
  <c r="H32" i="11" s="1"/>
  <c r="J31" i="11"/>
  <c r="B30" i="11"/>
  <c r="H30" i="11" s="1"/>
  <c r="H29" i="11"/>
  <c r="J29" i="11" s="1"/>
  <c r="B29" i="11"/>
  <c r="J28" i="11"/>
  <c r="B27" i="11"/>
  <c r="H27" i="11" s="1"/>
  <c r="L27" i="11" s="1"/>
  <c r="P23" i="11" s="1"/>
  <c r="R23" i="11" s="1"/>
  <c r="T23" i="11" s="1"/>
  <c r="B26" i="11"/>
  <c r="H26" i="11" s="1"/>
  <c r="B25" i="11"/>
  <c r="H25" i="11" s="1"/>
  <c r="B24" i="11"/>
  <c r="H24" i="11" s="1"/>
  <c r="B23" i="11"/>
  <c r="H23" i="11" s="1"/>
  <c r="B22" i="11"/>
  <c r="H22" i="11" s="1"/>
  <c r="B21" i="11"/>
  <c r="H21" i="11" s="1"/>
  <c r="J21" i="11" s="1"/>
  <c r="B20" i="11"/>
  <c r="H20" i="11" s="1"/>
  <c r="J19" i="11"/>
  <c r="B19" i="11"/>
  <c r="J18" i="11"/>
  <c r="B18" i="11"/>
  <c r="J17" i="11"/>
  <c r="B17" i="11"/>
  <c r="L16" i="11"/>
  <c r="P15" i="11" s="1"/>
  <c r="R15" i="11" s="1"/>
  <c r="T15" i="11" s="1"/>
  <c r="H16" i="11"/>
  <c r="J16" i="11" s="1"/>
  <c r="B16" i="11"/>
  <c r="H14" i="11" s="1"/>
  <c r="H15" i="11"/>
  <c r="L15" i="11" s="1"/>
  <c r="P14" i="11" s="1"/>
  <c r="R14" i="11" s="1"/>
  <c r="T14" i="11" s="1"/>
  <c r="B15" i="11"/>
  <c r="B14" i="11"/>
  <c r="B13" i="11"/>
  <c r="B12" i="11"/>
  <c r="H12" i="11" s="1"/>
  <c r="B11" i="11"/>
  <c r="H11" i="11" s="1"/>
  <c r="J11" i="11" s="1"/>
  <c r="J10" i="11"/>
  <c r="H9" i="11"/>
  <c r="J9" i="11" s="1"/>
  <c r="B9" i="11"/>
  <c r="B8" i="11"/>
  <c r="H8" i="11" s="1"/>
  <c r="H7" i="11"/>
  <c r="L7" i="11" s="1"/>
  <c r="P7" i="11" s="1"/>
  <c r="R7" i="11" s="1"/>
  <c r="T7" i="11" s="1"/>
  <c r="B7" i="11"/>
  <c r="H6" i="11"/>
  <c r="J6" i="11" s="1"/>
  <c r="B6" i="11"/>
  <c r="B5" i="11"/>
  <c r="H5" i="11" s="1"/>
  <c r="B4" i="11"/>
  <c r="H4" i="11" s="1"/>
  <c r="L4" i="11" s="1"/>
  <c r="P4" i="11" s="1"/>
  <c r="R4" i="11" s="1"/>
  <c r="T4" i="11" s="1"/>
  <c r="B3" i="11"/>
  <c r="H3" i="11" s="1"/>
  <c r="J2" i="11"/>
  <c r="E51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" i="10"/>
  <c r="L53" i="9"/>
  <c r="P44" i="9" s="1"/>
  <c r="R44" i="9" s="1"/>
  <c r="T44" i="9" s="1"/>
  <c r="B51" i="9"/>
  <c r="H51" i="9" s="1"/>
  <c r="H50" i="9"/>
  <c r="L50" i="9" s="1"/>
  <c r="P41" i="9" s="1"/>
  <c r="R41" i="9" s="1"/>
  <c r="T41" i="9" s="1"/>
  <c r="B50" i="9"/>
  <c r="B49" i="9"/>
  <c r="H49" i="9" s="1"/>
  <c r="B48" i="9"/>
  <c r="H48" i="9" s="1"/>
  <c r="L48" i="9" s="1"/>
  <c r="P39" i="9" s="1"/>
  <c r="R39" i="9" s="1"/>
  <c r="T39" i="9" s="1"/>
  <c r="J47" i="9"/>
  <c r="B46" i="9"/>
  <c r="H46" i="9" s="1"/>
  <c r="J46" i="9" s="1"/>
  <c r="B45" i="9"/>
  <c r="H45" i="9" s="1"/>
  <c r="B44" i="9"/>
  <c r="H44" i="9" s="1"/>
  <c r="L44" i="9" s="1"/>
  <c r="P36" i="9" s="1"/>
  <c r="R36" i="9" s="1"/>
  <c r="T36" i="9" s="1"/>
  <c r="B43" i="9"/>
  <c r="H43" i="9" s="1"/>
  <c r="J42" i="9"/>
  <c r="J41" i="9"/>
  <c r="B40" i="9"/>
  <c r="H40" i="9" s="1"/>
  <c r="B39" i="9"/>
  <c r="H39" i="9" s="1"/>
  <c r="B38" i="9"/>
  <c r="H38" i="9" s="1"/>
  <c r="B37" i="9"/>
  <c r="H37" i="9" s="1"/>
  <c r="L37" i="9" s="1"/>
  <c r="P31" i="9" s="1"/>
  <c r="R31" i="9" s="1"/>
  <c r="T31" i="9" s="1"/>
  <c r="B36" i="9"/>
  <c r="H36" i="9" s="1"/>
  <c r="B35" i="9"/>
  <c r="H35" i="9" s="1"/>
  <c r="H34" i="9"/>
  <c r="L34" i="9" s="1"/>
  <c r="P28" i="9" s="1"/>
  <c r="R28" i="9" s="1"/>
  <c r="T28" i="9" s="1"/>
  <c r="B34" i="9"/>
  <c r="B33" i="9"/>
  <c r="H33" i="9" s="1"/>
  <c r="B32" i="9"/>
  <c r="H32" i="9" s="1"/>
  <c r="J31" i="9"/>
  <c r="B30" i="9"/>
  <c r="H30" i="9" s="1"/>
  <c r="H29" i="9"/>
  <c r="J29" i="9" s="1"/>
  <c r="B29" i="9"/>
  <c r="J28" i="9"/>
  <c r="B27" i="9"/>
  <c r="H27" i="9" s="1"/>
  <c r="L27" i="9" s="1"/>
  <c r="P23" i="9" s="1"/>
  <c r="R23" i="9" s="1"/>
  <c r="T23" i="9" s="1"/>
  <c r="B26" i="9"/>
  <c r="H26" i="9" s="1"/>
  <c r="B25" i="9"/>
  <c r="H25" i="9" s="1"/>
  <c r="B24" i="9"/>
  <c r="H24" i="9" s="1"/>
  <c r="L24" i="9" s="1"/>
  <c r="P20" i="9" s="1"/>
  <c r="R20" i="9" s="1"/>
  <c r="T20" i="9" s="1"/>
  <c r="B23" i="9"/>
  <c r="H23" i="9" s="1"/>
  <c r="B22" i="9"/>
  <c r="H22" i="9" s="1"/>
  <c r="B21" i="9"/>
  <c r="H21" i="9" s="1"/>
  <c r="H20" i="9"/>
  <c r="L20" i="9" s="1"/>
  <c r="P16" i="9" s="1"/>
  <c r="R16" i="9" s="1"/>
  <c r="T16" i="9" s="1"/>
  <c r="B20" i="9"/>
  <c r="J19" i="9"/>
  <c r="B19" i="9"/>
  <c r="J18" i="9"/>
  <c r="B18" i="9"/>
  <c r="H15" i="9" s="1"/>
  <c r="J17" i="9"/>
  <c r="B17" i="9"/>
  <c r="L16" i="9"/>
  <c r="P15" i="9" s="1"/>
  <c r="R15" i="9" s="1"/>
  <c r="T15" i="9" s="1"/>
  <c r="H16" i="9"/>
  <c r="J16" i="9" s="1"/>
  <c r="B16" i="9"/>
  <c r="H14" i="9" s="1"/>
  <c r="J14" i="9" s="1"/>
  <c r="B15" i="9"/>
  <c r="B14" i="9"/>
  <c r="B13" i="9"/>
  <c r="H13" i="9" s="1"/>
  <c r="B12" i="9"/>
  <c r="H12" i="9" s="1"/>
  <c r="H11" i="9"/>
  <c r="L11" i="9" s="1"/>
  <c r="P10" i="9" s="1"/>
  <c r="R10" i="9" s="1"/>
  <c r="T10" i="9" s="1"/>
  <c r="B11" i="9"/>
  <c r="J10" i="9"/>
  <c r="B9" i="9"/>
  <c r="H9" i="9" s="1"/>
  <c r="J9" i="9" s="1"/>
  <c r="B8" i="9"/>
  <c r="H8" i="9" s="1"/>
  <c r="B7" i="9"/>
  <c r="H7" i="9" s="1"/>
  <c r="H6" i="9"/>
  <c r="J6" i="9" s="1"/>
  <c r="B6" i="9"/>
  <c r="B5" i="9"/>
  <c r="H5" i="9" s="1"/>
  <c r="B4" i="9"/>
  <c r="H4" i="9" s="1"/>
  <c r="L4" i="9" s="1"/>
  <c r="P4" i="9" s="1"/>
  <c r="R4" i="9" s="1"/>
  <c r="T4" i="9" s="1"/>
  <c r="B3" i="9"/>
  <c r="H3" i="9" s="1"/>
  <c r="J2" i="9"/>
  <c r="L53" i="7"/>
  <c r="P44" i="7" s="1"/>
  <c r="R44" i="7" s="1"/>
  <c r="T44" i="7" s="1"/>
  <c r="B51" i="7"/>
  <c r="H51" i="7" s="1"/>
  <c r="L51" i="7" s="1"/>
  <c r="P42" i="7" s="1"/>
  <c r="R42" i="7" s="1"/>
  <c r="T42" i="7" s="1"/>
  <c r="H50" i="7"/>
  <c r="L50" i="7" s="1"/>
  <c r="P41" i="7" s="1"/>
  <c r="R41" i="7" s="1"/>
  <c r="T41" i="7" s="1"/>
  <c r="B50" i="7"/>
  <c r="B49" i="7"/>
  <c r="H49" i="7" s="1"/>
  <c r="L49" i="7" s="1"/>
  <c r="P40" i="7" s="1"/>
  <c r="R40" i="7" s="1"/>
  <c r="T40" i="7" s="1"/>
  <c r="B48" i="7"/>
  <c r="H48" i="7" s="1"/>
  <c r="L48" i="7" s="1"/>
  <c r="P39" i="7" s="1"/>
  <c r="R39" i="7" s="1"/>
  <c r="T39" i="7" s="1"/>
  <c r="J47" i="7"/>
  <c r="H46" i="7"/>
  <c r="L46" i="7" s="1"/>
  <c r="P38" i="7" s="1"/>
  <c r="R38" i="7" s="1"/>
  <c r="T38" i="7" s="1"/>
  <c r="B46" i="7"/>
  <c r="B45" i="7"/>
  <c r="H45" i="7" s="1"/>
  <c r="B44" i="7"/>
  <c r="H44" i="7" s="1"/>
  <c r="L44" i="7" s="1"/>
  <c r="P36" i="7" s="1"/>
  <c r="R36" i="7" s="1"/>
  <c r="T36" i="7" s="1"/>
  <c r="B43" i="7"/>
  <c r="H43" i="7" s="1"/>
  <c r="J42" i="7"/>
  <c r="J41" i="7"/>
  <c r="B40" i="7"/>
  <c r="H40" i="7" s="1"/>
  <c r="B39" i="7"/>
  <c r="H39" i="7" s="1"/>
  <c r="B38" i="7"/>
  <c r="H38" i="7" s="1"/>
  <c r="B37" i="7"/>
  <c r="H37" i="7" s="1"/>
  <c r="L37" i="7" s="1"/>
  <c r="P31" i="7" s="1"/>
  <c r="R31" i="7" s="1"/>
  <c r="T31" i="7" s="1"/>
  <c r="B36" i="7"/>
  <c r="H36" i="7" s="1"/>
  <c r="B35" i="7"/>
  <c r="H35" i="7" s="1"/>
  <c r="L35" i="7" s="1"/>
  <c r="P29" i="7" s="1"/>
  <c r="R29" i="7" s="1"/>
  <c r="T29" i="7" s="1"/>
  <c r="B34" i="7"/>
  <c r="H34" i="7" s="1"/>
  <c r="B33" i="7"/>
  <c r="H33" i="7" s="1"/>
  <c r="B32" i="7"/>
  <c r="H32" i="7" s="1"/>
  <c r="J31" i="7"/>
  <c r="B30" i="7"/>
  <c r="H30" i="7" s="1"/>
  <c r="L30" i="7" s="1"/>
  <c r="P25" i="7" s="1"/>
  <c r="R25" i="7" s="1"/>
  <c r="T25" i="7" s="1"/>
  <c r="B29" i="7"/>
  <c r="H29" i="7" s="1"/>
  <c r="J28" i="7"/>
  <c r="B27" i="7"/>
  <c r="H27" i="7" s="1"/>
  <c r="L27" i="7" s="1"/>
  <c r="P23" i="7" s="1"/>
  <c r="R23" i="7" s="1"/>
  <c r="T23" i="7" s="1"/>
  <c r="B26" i="7"/>
  <c r="H26" i="7" s="1"/>
  <c r="B25" i="7"/>
  <c r="H25" i="7" s="1"/>
  <c r="L25" i="7" s="1"/>
  <c r="P21" i="7" s="1"/>
  <c r="R21" i="7" s="1"/>
  <c r="T21" i="7" s="1"/>
  <c r="B24" i="7"/>
  <c r="H24" i="7" s="1"/>
  <c r="B23" i="7"/>
  <c r="H23" i="7" s="1"/>
  <c r="B22" i="7"/>
  <c r="H22" i="7" s="1"/>
  <c r="B21" i="7"/>
  <c r="H21" i="7" s="1"/>
  <c r="B20" i="7"/>
  <c r="H20" i="7" s="1"/>
  <c r="L20" i="7" s="1"/>
  <c r="P16" i="7" s="1"/>
  <c r="R16" i="7" s="1"/>
  <c r="T16" i="7" s="1"/>
  <c r="J19" i="7"/>
  <c r="B19" i="7"/>
  <c r="H16" i="7" s="1"/>
  <c r="J18" i="7"/>
  <c r="B18" i="7"/>
  <c r="H15" i="7" s="1"/>
  <c r="L15" i="7" s="1"/>
  <c r="P14" i="7" s="1"/>
  <c r="R14" i="7" s="1"/>
  <c r="T14" i="7" s="1"/>
  <c r="J17" i="7"/>
  <c r="B17" i="7"/>
  <c r="B16" i="7"/>
  <c r="B15" i="7"/>
  <c r="B14" i="7"/>
  <c r="B13" i="7"/>
  <c r="B12" i="7"/>
  <c r="H12" i="7" s="1"/>
  <c r="B11" i="7"/>
  <c r="H11" i="7" s="1"/>
  <c r="J10" i="7"/>
  <c r="B9" i="7"/>
  <c r="H9" i="7" s="1"/>
  <c r="B8" i="7"/>
  <c r="H8" i="7" s="1"/>
  <c r="B7" i="7"/>
  <c r="H7" i="7" s="1"/>
  <c r="B6" i="7"/>
  <c r="H6" i="7" s="1"/>
  <c r="B5" i="7"/>
  <c r="H5" i="7" s="1"/>
  <c r="L5" i="7" s="1"/>
  <c r="P5" i="7" s="1"/>
  <c r="R5" i="7" s="1"/>
  <c r="T5" i="7" s="1"/>
  <c r="B4" i="7"/>
  <c r="H4" i="7" s="1"/>
  <c r="L4" i="7" s="1"/>
  <c r="P4" i="7" s="1"/>
  <c r="R4" i="7" s="1"/>
  <c r="T4" i="7" s="1"/>
  <c r="B3" i="7"/>
  <c r="H3" i="7" s="1"/>
  <c r="J2" i="7"/>
  <c r="L53" i="6"/>
  <c r="P44" i="6" s="1"/>
  <c r="R44" i="6" s="1"/>
  <c r="T44" i="6" s="1"/>
  <c r="B51" i="6"/>
  <c r="H51" i="6" s="1"/>
  <c r="B50" i="6"/>
  <c r="H50" i="6" s="1"/>
  <c r="B49" i="6"/>
  <c r="H49" i="6" s="1"/>
  <c r="L49" i="6" s="1"/>
  <c r="P40" i="6" s="1"/>
  <c r="R40" i="6" s="1"/>
  <c r="T40" i="6" s="1"/>
  <c r="B48" i="6"/>
  <c r="H48" i="6" s="1"/>
  <c r="L48" i="6" s="1"/>
  <c r="P39" i="6" s="1"/>
  <c r="R39" i="6" s="1"/>
  <c r="T39" i="6" s="1"/>
  <c r="J47" i="6"/>
  <c r="B46" i="6"/>
  <c r="H46" i="6" s="1"/>
  <c r="B45" i="6"/>
  <c r="H45" i="6" s="1"/>
  <c r="B44" i="6"/>
  <c r="H44" i="6" s="1"/>
  <c r="B43" i="6"/>
  <c r="H43" i="6" s="1"/>
  <c r="J42" i="6"/>
  <c r="J41" i="6"/>
  <c r="B40" i="6"/>
  <c r="H40" i="6" s="1"/>
  <c r="L40" i="6" s="1"/>
  <c r="P34" i="6" s="1"/>
  <c r="R34" i="6" s="1"/>
  <c r="T34" i="6" s="1"/>
  <c r="B39" i="6"/>
  <c r="H39" i="6" s="1"/>
  <c r="B38" i="6"/>
  <c r="H38" i="6" s="1"/>
  <c r="B37" i="6"/>
  <c r="H37" i="6" s="1"/>
  <c r="B36" i="6"/>
  <c r="H36" i="6" s="1"/>
  <c r="L36" i="6" s="1"/>
  <c r="P30" i="6" s="1"/>
  <c r="R30" i="6" s="1"/>
  <c r="T30" i="6" s="1"/>
  <c r="B35" i="6"/>
  <c r="H35" i="6" s="1"/>
  <c r="B34" i="6"/>
  <c r="H34" i="6" s="1"/>
  <c r="B33" i="6"/>
  <c r="H33" i="6" s="1"/>
  <c r="L33" i="6" s="1"/>
  <c r="P27" i="6" s="1"/>
  <c r="R27" i="6" s="1"/>
  <c r="T27" i="6" s="1"/>
  <c r="B32" i="6"/>
  <c r="H32" i="6" s="1"/>
  <c r="L32" i="6" s="1"/>
  <c r="P26" i="6" s="1"/>
  <c r="R26" i="6" s="1"/>
  <c r="T26" i="6" s="1"/>
  <c r="J31" i="6"/>
  <c r="B30" i="6"/>
  <c r="H30" i="6" s="1"/>
  <c r="B29" i="6"/>
  <c r="H29" i="6" s="1"/>
  <c r="J28" i="6"/>
  <c r="B27" i="6"/>
  <c r="H27" i="6" s="1"/>
  <c r="B26" i="6"/>
  <c r="H26" i="6" s="1"/>
  <c r="L26" i="6" s="1"/>
  <c r="P22" i="6" s="1"/>
  <c r="R22" i="6" s="1"/>
  <c r="T22" i="6" s="1"/>
  <c r="B25" i="6"/>
  <c r="H25" i="6" s="1"/>
  <c r="B24" i="6"/>
  <c r="H24" i="6" s="1"/>
  <c r="B23" i="6"/>
  <c r="H23" i="6" s="1"/>
  <c r="B22" i="6"/>
  <c r="H22" i="6" s="1"/>
  <c r="L22" i="6" s="1"/>
  <c r="P18" i="6" s="1"/>
  <c r="R18" i="6" s="1"/>
  <c r="T18" i="6" s="1"/>
  <c r="B21" i="6"/>
  <c r="H21" i="6" s="1"/>
  <c r="B20" i="6"/>
  <c r="H20" i="6" s="1"/>
  <c r="J19" i="6"/>
  <c r="B19" i="6"/>
  <c r="H16" i="6" s="1"/>
  <c r="L16" i="6" s="1"/>
  <c r="P15" i="6" s="1"/>
  <c r="R15" i="6" s="1"/>
  <c r="T15" i="6" s="1"/>
  <c r="J18" i="6"/>
  <c r="B18" i="6"/>
  <c r="H15" i="6" s="1"/>
  <c r="L15" i="6" s="1"/>
  <c r="P14" i="6" s="1"/>
  <c r="R14" i="6" s="1"/>
  <c r="T14" i="6" s="1"/>
  <c r="J17" i="6"/>
  <c r="B17" i="6"/>
  <c r="B16" i="6"/>
  <c r="H14" i="6" s="1"/>
  <c r="B15" i="6"/>
  <c r="B14" i="6"/>
  <c r="B13" i="6"/>
  <c r="H12" i="6"/>
  <c r="L12" i="6" s="1"/>
  <c r="P11" i="6" s="1"/>
  <c r="R11" i="6" s="1"/>
  <c r="T11" i="6" s="1"/>
  <c r="B12" i="6"/>
  <c r="B11" i="6"/>
  <c r="H11" i="6" s="1"/>
  <c r="J10" i="6"/>
  <c r="B9" i="6"/>
  <c r="H9" i="6" s="1"/>
  <c r="B8" i="6"/>
  <c r="H8" i="6" s="1"/>
  <c r="B7" i="6"/>
  <c r="H7" i="6" s="1"/>
  <c r="L7" i="6" s="1"/>
  <c r="P7" i="6" s="1"/>
  <c r="R7" i="6" s="1"/>
  <c r="T7" i="6" s="1"/>
  <c r="B6" i="6"/>
  <c r="H6" i="6" s="1"/>
  <c r="B5" i="6"/>
  <c r="H5" i="6" s="1"/>
  <c r="B4" i="6"/>
  <c r="H4" i="6" s="1"/>
  <c r="B3" i="6"/>
  <c r="H3" i="6" s="1"/>
  <c r="L3" i="6" s="1"/>
  <c r="P3" i="6" s="1"/>
  <c r="R3" i="6" s="1"/>
  <c r="T3" i="6" s="1"/>
  <c r="J2" i="6"/>
  <c r="L53" i="5"/>
  <c r="P44" i="5" s="1"/>
  <c r="R44" i="5" s="1"/>
  <c r="T44" i="5" s="1"/>
  <c r="B51" i="5"/>
  <c r="H51" i="5" s="1"/>
  <c r="L51" i="5" s="1"/>
  <c r="P42" i="5" s="1"/>
  <c r="R42" i="5" s="1"/>
  <c r="T42" i="5" s="1"/>
  <c r="B50" i="5"/>
  <c r="H50" i="5" s="1"/>
  <c r="B49" i="5"/>
  <c r="H49" i="5" s="1"/>
  <c r="L49" i="5" s="1"/>
  <c r="P40" i="5" s="1"/>
  <c r="R40" i="5" s="1"/>
  <c r="T40" i="5" s="1"/>
  <c r="B48" i="5"/>
  <c r="H48" i="5" s="1"/>
  <c r="J47" i="5"/>
  <c r="B46" i="5"/>
  <c r="H46" i="5" s="1"/>
  <c r="J46" i="5" s="1"/>
  <c r="B45" i="5"/>
  <c r="H45" i="5" s="1"/>
  <c r="L45" i="5" s="1"/>
  <c r="P37" i="5" s="1"/>
  <c r="R37" i="5" s="1"/>
  <c r="T37" i="5" s="1"/>
  <c r="B44" i="5"/>
  <c r="H44" i="5" s="1"/>
  <c r="B43" i="5"/>
  <c r="H43" i="5" s="1"/>
  <c r="J42" i="5"/>
  <c r="J41" i="5"/>
  <c r="B40" i="5"/>
  <c r="H40" i="5" s="1"/>
  <c r="B39" i="5"/>
  <c r="H39" i="5" s="1"/>
  <c r="B38" i="5"/>
  <c r="H38" i="5" s="1"/>
  <c r="L38" i="5" s="1"/>
  <c r="P32" i="5" s="1"/>
  <c r="R32" i="5" s="1"/>
  <c r="T32" i="5" s="1"/>
  <c r="B37" i="5"/>
  <c r="H37" i="5" s="1"/>
  <c r="B36" i="5"/>
  <c r="H36" i="5" s="1"/>
  <c r="B35" i="5"/>
  <c r="H35" i="5" s="1"/>
  <c r="B34" i="5"/>
  <c r="H34" i="5" s="1"/>
  <c r="J34" i="5" s="1"/>
  <c r="B33" i="5"/>
  <c r="H33" i="5" s="1"/>
  <c r="B32" i="5"/>
  <c r="H32" i="5" s="1"/>
  <c r="J31" i="5"/>
  <c r="B30" i="5"/>
  <c r="H30" i="5" s="1"/>
  <c r="B29" i="5"/>
  <c r="H29" i="5" s="1"/>
  <c r="J29" i="5" s="1"/>
  <c r="J28" i="5"/>
  <c r="B27" i="5"/>
  <c r="H27" i="5" s="1"/>
  <c r="B26" i="5"/>
  <c r="H26" i="5" s="1"/>
  <c r="B25" i="5"/>
  <c r="H25" i="5" s="1"/>
  <c r="B24" i="5"/>
  <c r="H24" i="5" s="1"/>
  <c r="L24" i="5" s="1"/>
  <c r="P20" i="5" s="1"/>
  <c r="R20" i="5" s="1"/>
  <c r="T20" i="5" s="1"/>
  <c r="B23" i="5"/>
  <c r="H23" i="5" s="1"/>
  <c r="B22" i="5"/>
  <c r="H22" i="5" s="1"/>
  <c r="B21" i="5"/>
  <c r="H21" i="5" s="1"/>
  <c r="B20" i="5"/>
  <c r="H20" i="5" s="1"/>
  <c r="L20" i="5" s="1"/>
  <c r="P16" i="5" s="1"/>
  <c r="R16" i="5" s="1"/>
  <c r="T16" i="5" s="1"/>
  <c r="J19" i="5"/>
  <c r="B19" i="5"/>
  <c r="H16" i="5" s="1"/>
  <c r="J18" i="5"/>
  <c r="B18" i="5"/>
  <c r="H15" i="5" s="1"/>
  <c r="J17" i="5"/>
  <c r="B17" i="5"/>
  <c r="B16" i="5"/>
  <c r="H14" i="5" s="1"/>
  <c r="L14" i="5" s="1"/>
  <c r="P13" i="5" s="1"/>
  <c r="R13" i="5" s="1"/>
  <c r="T13" i="5" s="1"/>
  <c r="B15" i="5"/>
  <c r="B14" i="5"/>
  <c r="B13" i="5"/>
  <c r="B12" i="5"/>
  <c r="H12" i="5" s="1"/>
  <c r="B11" i="5"/>
  <c r="H11" i="5" s="1"/>
  <c r="J10" i="5"/>
  <c r="B9" i="5"/>
  <c r="H9" i="5" s="1"/>
  <c r="L9" i="5" s="1"/>
  <c r="P9" i="5" s="1"/>
  <c r="R9" i="5" s="1"/>
  <c r="T9" i="5" s="1"/>
  <c r="B8" i="5"/>
  <c r="H8" i="5" s="1"/>
  <c r="B7" i="5"/>
  <c r="H7" i="5" s="1"/>
  <c r="B6" i="5"/>
  <c r="H6" i="5" s="1"/>
  <c r="B5" i="5"/>
  <c r="H5" i="5" s="1"/>
  <c r="L5" i="5" s="1"/>
  <c r="P5" i="5" s="1"/>
  <c r="R5" i="5" s="1"/>
  <c r="T5" i="5" s="1"/>
  <c r="B4" i="5"/>
  <c r="H4" i="5" s="1"/>
  <c r="B3" i="5"/>
  <c r="H3" i="5" s="1"/>
  <c r="J2" i="5"/>
  <c r="L53" i="4"/>
  <c r="P44" i="4" s="1"/>
  <c r="R44" i="4" s="1"/>
  <c r="T44" i="4" s="1"/>
  <c r="L51" i="4"/>
  <c r="P42" i="4" s="1"/>
  <c r="R42" i="4" s="1"/>
  <c r="T42" i="4" s="1"/>
  <c r="J51" i="4"/>
  <c r="H51" i="4"/>
  <c r="B51" i="4"/>
  <c r="B50" i="4"/>
  <c r="H50" i="4" s="1"/>
  <c r="L49" i="4"/>
  <c r="P40" i="4" s="1"/>
  <c r="R40" i="4" s="1"/>
  <c r="T40" i="4" s="1"/>
  <c r="J49" i="4"/>
  <c r="H49" i="4"/>
  <c r="B49" i="4"/>
  <c r="B48" i="4"/>
  <c r="H48" i="4" s="1"/>
  <c r="J47" i="4"/>
  <c r="B46" i="4"/>
  <c r="H46" i="4" s="1"/>
  <c r="B45" i="4"/>
  <c r="H45" i="4" s="1"/>
  <c r="B44" i="4"/>
  <c r="H44" i="4" s="1"/>
  <c r="B43" i="4"/>
  <c r="H43" i="4" s="1"/>
  <c r="J42" i="4"/>
  <c r="J41" i="4"/>
  <c r="H40" i="4"/>
  <c r="J40" i="4" s="1"/>
  <c r="B40" i="4"/>
  <c r="B39" i="4"/>
  <c r="H39" i="4" s="1"/>
  <c r="B38" i="4"/>
  <c r="H38" i="4" s="1"/>
  <c r="B37" i="4"/>
  <c r="H37" i="4" s="1"/>
  <c r="B36" i="4"/>
  <c r="H36" i="4" s="1"/>
  <c r="H35" i="4"/>
  <c r="L35" i="4" s="1"/>
  <c r="P29" i="4" s="1"/>
  <c r="R29" i="4" s="1"/>
  <c r="T29" i="4" s="1"/>
  <c r="B35" i="4"/>
  <c r="B34" i="4"/>
  <c r="H34" i="4" s="1"/>
  <c r="B33" i="4"/>
  <c r="H33" i="4" s="1"/>
  <c r="H32" i="4"/>
  <c r="J32" i="4" s="1"/>
  <c r="B32" i="4"/>
  <c r="J31" i="4"/>
  <c r="H30" i="4"/>
  <c r="L30" i="4" s="1"/>
  <c r="P25" i="4" s="1"/>
  <c r="R25" i="4" s="1"/>
  <c r="T25" i="4" s="1"/>
  <c r="B30" i="4"/>
  <c r="B29" i="4"/>
  <c r="H29" i="4" s="1"/>
  <c r="J28" i="4"/>
  <c r="B27" i="4"/>
  <c r="H27" i="4" s="1"/>
  <c r="B26" i="4"/>
  <c r="H26" i="4" s="1"/>
  <c r="H25" i="4"/>
  <c r="L25" i="4" s="1"/>
  <c r="P21" i="4" s="1"/>
  <c r="R21" i="4" s="1"/>
  <c r="T21" i="4" s="1"/>
  <c r="B25" i="4"/>
  <c r="B24" i="4"/>
  <c r="H24" i="4" s="1"/>
  <c r="B23" i="4"/>
  <c r="H23" i="4" s="1"/>
  <c r="H22" i="4"/>
  <c r="J22" i="4" s="1"/>
  <c r="B22" i="4"/>
  <c r="B21" i="4"/>
  <c r="H21" i="4" s="1"/>
  <c r="B20" i="4"/>
  <c r="H20" i="4" s="1"/>
  <c r="J19" i="4"/>
  <c r="B19" i="4"/>
  <c r="J18" i="4"/>
  <c r="B18" i="4"/>
  <c r="J17" i="4"/>
  <c r="B17" i="4"/>
  <c r="H14" i="4" s="1"/>
  <c r="L16" i="4"/>
  <c r="P15" i="4" s="1"/>
  <c r="R15" i="4" s="1"/>
  <c r="T15" i="4" s="1"/>
  <c r="J16" i="4"/>
  <c r="H16" i="4"/>
  <c r="B16" i="4"/>
  <c r="H15" i="4"/>
  <c r="L15" i="4" s="1"/>
  <c r="P14" i="4" s="1"/>
  <c r="R14" i="4" s="1"/>
  <c r="T14" i="4" s="1"/>
  <c r="B15" i="4"/>
  <c r="B14" i="4"/>
  <c r="B13" i="4"/>
  <c r="H13" i="4" s="1"/>
  <c r="H12" i="4"/>
  <c r="J12" i="4" s="1"/>
  <c r="B12" i="4"/>
  <c r="B11" i="4"/>
  <c r="H11" i="4" s="1"/>
  <c r="J10" i="4"/>
  <c r="B9" i="4"/>
  <c r="H9" i="4" s="1"/>
  <c r="B8" i="4"/>
  <c r="H8" i="4" s="1"/>
  <c r="H7" i="4"/>
  <c r="J7" i="4" s="1"/>
  <c r="B7" i="4"/>
  <c r="B6" i="4"/>
  <c r="H6" i="4" s="1"/>
  <c r="B5" i="4"/>
  <c r="H5" i="4" s="1"/>
  <c r="B4" i="4"/>
  <c r="H4" i="4" s="1"/>
  <c r="B3" i="4"/>
  <c r="H3" i="4" s="1"/>
  <c r="J2" i="4"/>
  <c r="L53" i="3"/>
  <c r="P44" i="3" s="1"/>
  <c r="R44" i="3" s="1"/>
  <c r="B51" i="3"/>
  <c r="H51" i="3" s="1"/>
  <c r="B50" i="3"/>
  <c r="H50" i="3" s="1"/>
  <c r="H49" i="3"/>
  <c r="J49" i="3" s="1"/>
  <c r="B49" i="3"/>
  <c r="B48" i="3"/>
  <c r="H48" i="3" s="1"/>
  <c r="J47" i="3"/>
  <c r="B46" i="3"/>
  <c r="H46" i="3" s="1"/>
  <c r="B45" i="3"/>
  <c r="H45" i="3" s="1"/>
  <c r="L45" i="3" s="1"/>
  <c r="P37" i="3" s="1"/>
  <c r="R37" i="3" s="1"/>
  <c r="B44" i="3"/>
  <c r="H44" i="3" s="1"/>
  <c r="B43" i="3"/>
  <c r="H43" i="3" s="1"/>
  <c r="J42" i="3"/>
  <c r="J41" i="3"/>
  <c r="B40" i="3"/>
  <c r="H40" i="3" s="1"/>
  <c r="B39" i="3"/>
  <c r="H39" i="3" s="1"/>
  <c r="B38" i="3"/>
  <c r="H38" i="3" s="1"/>
  <c r="B37" i="3"/>
  <c r="H37" i="3" s="1"/>
  <c r="L37" i="3" s="1"/>
  <c r="P31" i="3" s="1"/>
  <c r="R31" i="3" s="1"/>
  <c r="B36" i="3"/>
  <c r="H36" i="3" s="1"/>
  <c r="B35" i="3"/>
  <c r="H35" i="3" s="1"/>
  <c r="B34" i="3"/>
  <c r="H34" i="3" s="1"/>
  <c r="B33" i="3"/>
  <c r="H33" i="3" s="1"/>
  <c r="L33" i="3" s="1"/>
  <c r="P27" i="3" s="1"/>
  <c r="R27" i="3" s="1"/>
  <c r="B32" i="3"/>
  <c r="H32" i="3" s="1"/>
  <c r="J31" i="3"/>
  <c r="B30" i="3"/>
  <c r="H30" i="3" s="1"/>
  <c r="B29" i="3"/>
  <c r="H29" i="3" s="1"/>
  <c r="J28" i="3"/>
  <c r="B27" i="3"/>
  <c r="H27" i="3" s="1"/>
  <c r="B26" i="3"/>
  <c r="H26" i="3" s="1"/>
  <c r="B25" i="3"/>
  <c r="H25" i="3" s="1"/>
  <c r="B24" i="3"/>
  <c r="H24" i="3" s="1"/>
  <c r="J24" i="3" s="1"/>
  <c r="B23" i="3"/>
  <c r="H23" i="3" s="1"/>
  <c r="B22" i="3"/>
  <c r="H22" i="3" s="1"/>
  <c r="B21" i="3"/>
  <c r="H21" i="3" s="1"/>
  <c r="B20" i="3"/>
  <c r="H20" i="3" s="1"/>
  <c r="L20" i="3" s="1"/>
  <c r="P16" i="3" s="1"/>
  <c r="R16" i="3" s="1"/>
  <c r="J19" i="3"/>
  <c r="B19" i="3"/>
  <c r="H16" i="3" s="1"/>
  <c r="J18" i="3"/>
  <c r="B18" i="3"/>
  <c r="H15" i="3" s="1"/>
  <c r="L15" i="3" s="1"/>
  <c r="P14" i="3" s="1"/>
  <c r="R14" i="3" s="1"/>
  <c r="J17" i="3"/>
  <c r="B17" i="3"/>
  <c r="B16" i="3"/>
  <c r="B15" i="3"/>
  <c r="H14" i="3"/>
  <c r="L14" i="3" s="1"/>
  <c r="P13" i="3" s="1"/>
  <c r="R13" i="3" s="1"/>
  <c r="B14" i="3"/>
  <c r="B13" i="3"/>
  <c r="B12" i="3"/>
  <c r="H12" i="3" s="1"/>
  <c r="B11" i="3"/>
  <c r="H11" i="3" s="1"/>
  <c r="L11" i="3" s="1"/>
  <c r="P10" i="3" s="1"/>
  <c r="R10" i="3" s="1"/>
  <c r="J10" i="3"/>
  <c r="B9" i="3"/>
  <c r="H9" i="3" s="1"/>
  <c r="B8" i="3"/>
  <c r="H8" i="3" s="1"/>
  <c r="B7" i="3"/>
  <c r="H7" i="3" s="1"/>
  <c r="B6" i="3"/>
  <c r="H6" i="3" s="1"/>
  <c r="B5" i="3"/>
  <c r="H5" i="3" s="1"/>
  <c r="B4" i="3"/>
  <c r="H4" i="3" s="1"/>
  <c r="B3" i="3"/>
  <c r="H3" i="3" s="1"/>
  <c r="J2" i="3"/>
  <c r="L53" i="1"/>
  <c r="P44" i="1" s="1"/>
  <c r="R44" i="1" s="1"/>
  <c r="T44" i="1" s="1"/>
  <c r="J42" i="1"/>
  <c r="B49" i="1"/>
  <c r="H49" i="1" s="1"/>
  <c r="L49" i="1" s="1"/>
  <c r="P40" i="1" s="1"/>
  <c r="R40" i="1" s="1"/>
  <c r="T40" i="1" s="1"/>
  <c r="B50" i="1"/>
  <c r="H50" i="1" s="1"/>
  <c r="L50" i="1" s="1"/>
  <c r="P41" i="1" s="1"/>
  <c r="R41" i="1" s="1"/>
  <c r="T41" i="1" s="1"/>
  <c r="B51" i="1"/>
  <c r="H51" i="1" s="1"/>
  <c r="L51" i="1" s="1"/>
  <c r="P42" i="1" s="1"/>
  <c r="R42" i="1" s="1"/>
  <c r="T42" i="1" s="1"/>
  <c r="B48" i="1"/>
  <c r="H48" i="1" s="1"/>
  <c r="L48" i="1" s="1"/>
  <c r="P39" i="1" s="1"/>
  <c r="R39" i="1" s="1"/>
  <c r="T39" i="1" s="1"/>
  <c r="B44" i="1"/>
  <c r="H44" i="1" s="1"/>
  <c r="L44" i="1" s="1"/>
  <c r="P36" i="1" s="1"/>
  <c r="R36" i="1" s="1"/>
  <c r="T36" i="1" s="1"/>
  <c r="B45" i="1"/>
  <c r="H45" i="1" s="1"/>
  <c r="B46" i="1"/>
  <c r="H46" i="1" s="1"/>
  <c r="L46" i="1" s="1"/>
  <c r="P38" i="1" s="1"/>
  <c r="R38" i="1" s="1"/>
  <c r="T38" i="1" s="1"/>
  <c r="B43" i="1"/>
  <c r="H43" i="1" s="1"/>
  <c r="L43" i="1" s="1"/>
  <c r="P35" i="1" s="1"/>
  <c r="R35" i="1" s="1"/>
  <c r="T35" i="1" s="1"/>
  <c r="B33" i="1"/>
  <c r="H33" i="1" s="1"/>
  <c r="J33" i="1" s="1"/>
  <c r="B34" i="1"/>
  <c r="H34" i="1" s="1"/>
  <c r="J34" i="1" s="1"/>
  <c r="B35" i="1"/>
  <c r="H35" i="1" s="1"/>
  <c r="J35" i="1" s="1"/>
  <c r="B36" i="1"/>
  <c r="H36" i="1" s="1"/>
  <c r="J36" i="1" s="1"/>
  <c r="B37" i="1"/>
  <c r="H37" i="1" s="1"/>
  <c r="J37" i="1" s="1"/>
  <c r="B38" i="1"/>
  <c r="H38" i="1" s="1"/>
  <c r="J38" i="1" s="1"/>
  <c r="B39" i="1"/>
  <c r="H39" i="1" s="1"/>
  <c r="J39" i="1" s="1"/>
  <c r="B40" i="1"/>
  <c r="H40" i="1" s="1"/>
  <c r="L40" i="1" s="1"/>
  <c r="P34" i="1" s="1"/>
  <c r="R34" i="1" s="1"/>
  <c r="T34" i="1" s="1"/>
  <c r="B32" i="1"/>
  <c r="B30" i="1"/>
  <c r="H30" i="1" s="1"/>
  <c r="B29" i="1"/>
  <c r="H29" i="1" s="1"/>
  <c r="J29" i="1" s="1"/>
  <c r="B21" i="1"/>
  <c r="H21" i="1" s="1"/>
  <c r="J21" i="1" s="1"/>
  <c r="B22" i="1"/>
  <c r="H22" i="1" s="1"/>
  <c r="L22" i="1" s="1"/>
  <c r="P18" i="1" s="1"/>
  <c r="R18" i="1" s="1"/>
  <c r="T18" i="1" s="1"/>
  <c r="B23" i="1"/>
  <c r="H23" i="1" s="1"/>
  <c r="J23" i="1" s="1"/>
  <c r="B24" i="1"/>
  <c r="H24" i="1" s="1"/>
  <c r="J24" i="1" s="1"/>
  <c r="B25" i="1"/>
  <c r="H25" i="1" s="1"/>
  <c r="J25" i="1" s="1"/>
  <c r="B26" i="1"/>
  <c r="B27" i="1"/>
  <c r="H27" i="1" s="1"/>
  <c r="J27" i="1" s="1"/>
  <c r="B20" i="1"/>
  <c r="H20" i="1" s="1"/>
  <c r="J20" i="1" s="1"/>
  <c r="B17" i="1"/>
  <c r="B18" i="1"/>
  <c r="H15" i="1" s="1"/>
  <c r="J15" i="1" s="1"/>
  <c r="B19" i="1"/>
  <c r="H16" i="1" s="1"/>
  <c r="J16" i="1" s="1"/>
  <c r="B12" i="1"/>
  <c r="H12" i="1" s="1"/>
  <c r="L12" i="1" s="1"/>
  <c r="P11" i="1" s="1"/>
  <c r="R11" i="1" s="1"/>
  <c r="T11" i="1" s="1"/>
  <c r="B13" i="1"/>
  <c r="B14" i="1"/>
  <c r="B15" i="1"/>
  <c r="B16" i="1"/>
  <c r="B11" i="1"/>
  <c r="H11" i="1" s="1"/>
  <c r="J11" i="1" s="1"/>
  <c r="B4" i="1"/>
  <c r="H4" i="1" s="1"/>
  <c r="B5" i="1"/>
  <c r="H5" i="1" s="1"/>
  <c r="B6" i="1"/>
  <c r="H6" i="1" s="1"/>
  <c r="J6" i="1" s="1"/>
  <c r="B7" i="1"/>
  <c r="H7" i="1" s="1"/>
  <c r="L7" i="1" s="1"/>
  <c r="P7" i="1" s="1"/>
  <c r="R7" i="1" s="1"/>
  <c r="T7" i="1" s="1"/>
  <c r="B8" i="1"/>
  <c r="H8" i="1" s="1"/>
  <c r="B9" i="1"/>
  <c r="H9" i="1" s="1"/>
  <c r="B3" i="1"/>
  <c r="H3" i="1" s="1"/>
  <c r="J3" i="1" s="1"/>
  <c r="J47" i="1"/>
  <c r="J41" i="1"/>
  <c r="J18" i="1"/>
  <c r="J19" i="1"/>
  <c r="J28" i="1"/>
  <c r="J31" i="1"/>
  <c r="J17" i="1"/>
  <c r="H26" i="1"/>
  <c r="J26" i="1" s="1"/>
  <c r="H32" i="1"/>
  <c r="L32" i="1" s="1"/>
  <c r="P26" i="1" s="1"/>
  <c r="R26" i="1" s="1"/>
  <c r="T26" i="1" s="1"/>
  <c r="J10" i="1"/>
  <c r="J2" i="1"/>
  <c r="J43" i="13" l="1"/>
  <c r="L43" i="13"/>
  <c r="P35" i="13" s="1"/>
  <c r="R35" i="13" s="1"/>
  <c r="T35" i="13" s="1"/>
  <c r="H13" i="13"/>
  <c r="I50" i="13"/>
  <c r="L50" i="13"/>
  <c r="P41" i="13" s="1"/>
  <c r="R41" i="13" s="1"/>
  <c r="T41" i="13" s="1"/>
  <c r="J50" i="13"/>
  <c r="H14" i="13"/>
  <c r="I14" i="13" s="1"/>
  <c r="L11" i="13"/>
  <c r="P10" i="13" s="1"/>
  <c r="R10" i="13" s="1"/>
  <c r="T10" i="13" s="1"/>
  <c r="L15" i="13"/>
  <c r="P14" i="13" s="1"/>
  <c r="R14" i="13" s="1"/>
  <c r="T14" i="13" s="1"/>
  <c r="J15" i="13"/>
  <c r="I15" i="13"/>
  <c r="L39" i="13"/>
  <c r="P33" i="13" s="1"/>
  <c r="R33" i="13" s="1"/>
  <c r="T33" i="13" s="1"/>
  <c r="J39" i="13"/>
  <c r="I39" i="13"/>
  <c r="J8" i="13"/>
  <c r="L8" i="13"/>
  <c r="P8" i="13" s="1"/>
  <c r="R8" i="13" s="1"/>
  <c r="T8" i="13" s="1"/>
  <c r="I11" i="13"/>
  <c r="J4" i="13"/>
  <c r="I4" i="13"/>
  <c r="L4" i="13"/>
  <c r="P4" i="13" s="1"/>
  <c r="R4" i="13" s="1"/>
  <c r="T4" i="13" s="1"/>
  <c r="L24" i="13"/>
  <c r="P20" i="13" s="1"/>
  <c r="R20" i="13" s="1"/>
  <c r="T20" i="13" s="1"/>
  <c r="I24" i="13"/>
  <c r="J24" i="13"/>
  <c r="L25" i="13"/>
  <c r="P21" i="13" s="1"/>
  <c r="R21" i="13" s="1"/>
  <c r="T21" i="13" s="1"/>
  <c r="J25" i="13"/>
  <c r="I25" i="13"/>
  <c r="J38" i="13"/>
  <c r="I38" i="13"/>
  <c r="L38" i="13"/>
  <c r="P32" i="13" s="1"/>
  <c r="R32" i="13" s="1"/>
  <c r="T32" i="13" s="1"/>
  <c r="I35" i="13"/>
  <c r="L35" i="13"/>
  <c r="P29" i="13" s="1"/>
  <c r="R29" i="13" s="1"/>
  <c r="T29" i="13" s="1"/>
  <c r="J35" i="13"/>
  <c r="L45" i="13"/>
  <c r="P37" i="13" s="1"/>
  <c r="R37" i="13" s="1"/>
  <c r="T37" i="13" s="1"/>
  <c r="J45" i="13"/>
  <c r="I45" i="13"/>
  <c r="J6" i="13"/>
  <c r="I6" i="13"/>
  <c r="L6" i="13"/>
  <c r="P6" i="13" s="1"/>
  <c r="R6" i="13" s="1"/>
  <c r="T6" i="13" s="1"/>
  <c r="L48" i="13"/>
  <c r="P39" i="13" s="1"/>
  <c r="R39" i="13" s="1"/>
  <c r="T39" i="13" s="1"/>
  <c r="J48" i="13"/>
  <c r="I48" i="13"/>
  <c r="I3" i="13"/>
  <c r="J3" i="13"/>
  <c r="L3" i="13"/>
  <c r="P3" i="13" s="1"/>
  <c r="R3" i="13" s="1"/>
  <c r="T3" i="13" s="1"/>
  <c r="J23" i="13"/>
  <c r="L23" i="13"/>
  <c r="P19" i="13" s="1"/>
  <c r="R19" i="13" s="1"/>
  <c r="T19" i="13" s="1"/>
  <c r="I23" i="13"/>
  <c r="I46" i="13"/>
  <c r="L46" i="13"/>
  <c r="P38" i="13" s="1"/>
  <c r="R38" i="13" s="1"/>
  <c r="T38" i="13" s="1"/>
  <c r="J46" i="13"/>
  <c r="L7" i="13"/>
  <c r="P7" i="13" s="1"/>
  <c r="R7" i="13" s="1"/>
  <c r="T7" i="13" s="1"/>
  <c r="J7" i="13"/>
  <c r="I7" i="13"/>
  <c r="J13" i="13"/>
  <c r="I13" i="13"/>
  <c r="L13" i="13"/>
  <c r="P12" i="13" s="1"/>
  <c r="R12" i="13" s="1"/>
  <c r="T12" i="13" s="1"/>
  <c r="I20" i="13"/>
  <c r="L20" i="13"/>
  <c r="P16" i="13" s="1"/>
  <c r="R16" i="13" s="1"/>
  <c r="T16" i="13" s="1"/>
  <c r="J20" i="13"/>
  <c r="J27" i="13"/>
  <c r="I27" i="13"/>
  <c r="L27" i="13"/>
  <c r="P23" i="13" s="1"/>
  <c r="R23" i="13" s="1"/>
  <c r="T23" i="13" s="1"/>
  <c r="J30" i="13"/>
  <c r="I30" i="13"/>
  <c r="L30" i="13"/>
  <c r="P25" i="13" s="1"/>
  <c r="R25" i="13" s="1"/>
  <c r="T25" i="13" s="1"/>
  <c r="J33" i="13"/>
  <c r="I33" i="13"/>
  <c r="L33" i="13"/>
  <c r="P27" i="13" s="1"/>
  <c r="R27" i="13" s="1"/>
  <c r="T27" i="13" s="1"/>
  <c r="L44" i="13"/>
  <c r="P36" i="13" s="1"/>
  <c r="R36" i="13" s="1"/>
  <c r="T36" i="13" s="1"/>
  <c r="J44" i="13"/>
  <c r="I44" i="13"/>
  <c r="J37" i="13"/>
  <c r="L37" i="13"/>
  <c r="P31" i="13" s="1"/>
  <c r="R31" i="13" s="1"/>
  <c r="T31" i="13" s="1"/>
  <c r="I37" i="13"/>
  <c r="J21" i="13"/>
  <c r="L21" i="13"/>
  <c r="P17" i="13" s="1"/>
  <c r="R17" i="13" s="1"/>
  <c r="T17" i="13" s="1"/>
  <c r="I21" i="13"/>
  <c r="I34" i="13"/>
  <c r="L34" i="13"/>
  <c r="P28" i="13" s="1"/>
  <c r="R28" i="13" s="1"/>
  <c r="T28" i="13" s="1"/>
  <c r="J34" i="13"/>
  <c r="L49" i="13"/>
  <c r="P40" i="13" s="1"/>
  <c r="R40" i="13" s="1"/>
  <c r="T40" i="13" s="1"/>
  <c r="I9" i="13"/>
  <c r="I5" i="13"/>
  <c r="I16" i="13"/>
  <c r="I22" i="13"/>
  <c r="J5" i="13"/>
  <c r="J16" i="13"/>
  <c r="J22" i="13"/>
  <c r="J36" i="13"/>
  <c r="I43" i="13"/>
  <c r="I51" i="13"/>
  <c r="I12" i="13"/>
  <c r="I29" i="13"/>
  <c r="I32" i="13"/>
  <c r="I40" i="13"/>
  <c r="I36" i="13"/>
  <c r="J51" i="13"/>
  <c r="I26" i="13"/>
  <c r="J9" i="13"/>
  <c r="J12" i="13"/>
  <c r="J26" i="13"/>
  <c r="J29" i="13"/>
  <c r="J32" i="13"/>
  <c r="J40" i="13"/>
  <c r="I49" i="13"/>
  <c r="I51" i="12"/>
  <c r="L37" i="12"/>
  <c r="P31" i="12" s="1"/>
  <c r="R31" i="12" s="1"/>
  <c r="T31" i="12" s="1"/>
  <c r="I37" i="12"/>
  <c r="I48" i="12"/>
  <c r="I40" i="12"/>
  <c r="I39" i="12"/>
  <c r="I44" i="12"/>
  <c r="J6" i="12"/>
  <c r="I6" i="12"/>
  <c r="J11" i="12"/>
  <c r="I11" i="12"/>
  <c r="I27" i="12"/>
  <c r="H13" i="12"/>
  <c r="I13" i="12" s="1"/>
  <c r="I8" i="12"/>
  <c r="H14" i="12"/>
  <c r="I14" i="12" s="1"/>
  <c r="L43" i="12"/>
  <c r="P35" i="12" s="1"/>
  <c r="R35" i="12" s="1"/>
  <c r="T35" i="12" s="1"/>
  <c r="J43" i="12"/>
  <c r="L49" i="12"/>
  <c r="P40" i="12" s="1"/>
  <c r="R40" i="12" s="1"/>
  <c r="T40" i="12" s="1"/>
  <c r="J49" i="12"/>
  <c r="L23" i="12"/>
  <c r="P19" i="12" s="1"/>
  <c r="R19" i="12" s="1"/>
  <c r="T19" i="12" s="1"/>
  <c r="J23" i="12"/>
  <c r="L7" i="12"/>
  <c r="P7" i="12" s="1"/>
  <c r="R7" i="12" s="1"/>
  <c r="T7" i="12" s="1"/>
  <c r="J7" i="12"/>
  <c r="L32" i="12"/>
  <c r="P26" i="12" s="1"/>
  <c r="R26" i="12" s="1"/>
  <c r="T26" i="12" s="1"/>
  <c r="J32" i="12"/>
  <c r="L33" i="12"/>
  <c r="P27" i="12" s="1"/>
  <c r="R27" i="12" s="1"/>
  <c r="T27" i="12" s="1"/>
  <c r="J33" i="12"/>
  <c r="J13" i="12"/>
  <c r="L13" i="12"/>
  <c r="P12" i="12" s="1"/>
  <c r="R12" i="12" s="1"/>
  <c r="T12" i="12" s="1"/>
  <c r="L22" i="12"/>
  <c r="P18" i="12" s="1"/>
  <c r="R18" i="12" s="1"/>
  <c r="T18" i="12" s="1"/>
  <c r="J22" i="12"/>
  <c r="J8" i="12"/>
  <c r="J12" i="12"/>
  <c r="J40" i="12"/>
  <c r="L36" i="12"/>
  <c r="P30" i="12" s="1"/>
  <c r="R30" i="12" s="1"/>
  <c r="T30" i="12" s="1"/>
  <c r="J36" i="12"/>
  <c r="L3" i="12"/>
  <c r="P3" i="12" s="1"/>
  <c r="R3" i="12" s="1"/>
  <c r="T3" i="12" s="1"/>
  <c r="J3" i="12"/>
  <c r="L50" i="12"/>
  <c r="P41" i="12" s="1"/>
  <c r="R41" i="12" s="1"/>
  <c r="T41" i="12" s="1"/>
  <c r="J50" i="12"/>
  <c r="L38" i="12"/>
  <c r="P32" i="12" s="1"/>
  <c r="R32" i="12" s="1"/>
  <c r="T32" i="12" s="1"/>
  <c r="J38" i="12"/>
  <c r="L20" i="12"/>
  <c r="P16" i="12" s="1"/>
  <c r="R16" i="12" s="1"/>
  <c r="T16" i="12" s="1"/>
  <c r="J20" i="12"/>
  <c r="L29" i="12"/>
  <c r="P24" i="12" s="1"/>
  <c r="R24" i="12" s="1"/>
  <c r="T24" i="12" s="1"/>
  <c r="J29" i="12"/>
  <c r="L45" i="12"/>
  <c r="P37" i="12" s="1"/>
  <c r="R37" i="12" s="1"/>
  <c r="T37" i="12" s="1"/>
  <c r="J45" i="12"/>
  <c r="L30" i="12"/>
  <c r="P25" i="12" s="1"/>
  <c r="R25" i="12" s="1"/>
  <c r="T25" i="12" s="1"/>
  <c r="J30" i="12"/>
  <c r="L5" i="12"/>
  <c r="P5" i="12" s="1"/>
  <c r="R5" i="12" s="1"/>
  <c r="T5" i="12" s="1"/>
  <c r="J5" i="12"/>
  <c r="L46" i="12"/>
  <c r="P38" i="12" s="1"/>
  <c r="R38" i="12" s="1"/>
  <c r="T38" i="12" s="1"/>
  <c r="J46" i="12"/>
  <c r="L24" i="12"/>
  <c r="P20" i="12" s="1"/>
  <c r="R20" i="12" s="1"/>
  <c r="T20" i="12" s="1"/>
  <c r="J24" i="12"/>
  <c r="L34" i="12"/>
  <c r="P28" i="12" s="1"/>
  <c r="R28" i="12" s="1"/>
  <c r="T28" i="12" s="1"/>
  <c r="J34" i="12"/>
  <c r="L9" i="12"/>
  <c r="P9" i="12" s="1"/>
  <c r="R9" i="12" s="1"/>
  <c r="T9" i="12" s="1"/>
  <c r="J9" i="12"/>
  <c r="L25" i="12"/>
  <c r="P21" i="12" s="1"/>
  <c r="R21" i="12" s="1"/>
  <c r="T21" i="12" s="1"/>
  <c r="J25" i="12"/>
  <c r="L35" i="12"/>
  <c r="P29" i="12" s="1"/>
  <c r="R29" i="12" s="1"/>
  <c r="T29" i="12" s="1"/>
  <c r="J35" i="12"/>
  <c r="L15" i="12"/>
  <c r="P14" i="12" s="1"/>
  <c r="R14" i="12" s="1"/>
  <c r="T14" i="12" s="1"/>
  <c r="J15" i="12"/>
  <c r="L26" i="12"/>
  <c r="P22" i="12" s="1"/>
  <c r="R22" i="12" s="1"/>
  <c r="T22" i="12" s="1"/>
  <c r="J26" i="12"/>
  <c r="L6" i="12"/>
  <c r="P6" i="12" s="1"/>
  <c r="R6" i="12" s="1"/>
  <c r="T6" i="12" s="1"/>
  <c r="L11" i="12"/>
  <c r="P10" i="12" s="1"/>
  <c r="R10" i="12" s="1"/>
  <c r="T10" i="12" s="1"/>
  <c r="L21" i="12"/>
  <c r="P17" i="12" s="1"/>
  <c r="R17" i="12" s="1"/>
  <c r="T17" i="12" s="1"/>
  <c r="L39" i="12"/>
  <c r="P33" i="12" s="1"/>
  <c r="R33" i="12" s="1"/>
  <c r="T33" i="12" s="1"/>
  <c r="J4" i="12"/>
  <c r="J37" i="12"/>
  <c r="J44" i="12"/>
  <c r="J48" i="12"/>
  <c r="J16" i="12"/>
  <c r="J27" i="12"/>
  <c r="J51" i="12"/>
  <c r="J49" i="11"/>
  <c r="L12" i="11"/>
  <c r="P11" i="11" s="1"/>
  <c r="R11" i="11" s="1"/>
  <c r="T11" i="11" s="1"/>
  <c r="J12" i="11"/>
  <c r="L22" i="11"/>
  <c r="P18" i="11" s="1"/>
  <c r="R18" i="11" s="1"/>
  <c r="T18" i="11" s="1"/>
  <c r="J22" i="11"/>
  <c r="J24" i="11"/>
  <c r="L24" i="11"/>
  <c r="P20" i="11" s="1"/>
  <c r="R20" i="11" s="1"/>
  <c r="T20" i="11" s="1"/>
  <c r="L32" i="11"/>
  <c r="P26" i="11" s="1"/>
  <c r="R26" i="11" s="1"/>
  <c r="T26" i="11" s="1"/>
  <c r="J32" i="11"/>
  <c r="L40" i="11"/>
  <c r="P34" i="11" s="1"/>
  <c r="R34" i="11" s="1"/>
  <c r="T34" i="11" s="1"/>
  <c r="J40" i="11"/>
  <c r="J34" i="11"/>
  <c r="L34" i="11"/>
  <c r="P28" i="11" s="1"/>
  <c r="R28" i="11" s="1"/>
  <c r="T28" i="11" s="1"/>
  <c r="L29" i="11"/>
  <c r="P24" i="11" s="1"/>
  <c r="R24" i="11" s="1"/>
  <c r="T24" i="11" s="1"/>
  <c r="J7" i="11"/>
  <c r="J15" i="11"/>
  <c r="L9" i="11"/>
  <c r="P9" i="11" s="1"/>
  <c r="R9" i="11" s="1"/>
  <c r="T9" i="11" s="1"/>
  <c r="H13" i="11"/>
  <c r="L30" i="11"/>
  <c r="P25" i="11" s="1"/>
  <c r="R25" i="11" s="1"/>
  <c r="T25" i="11" s="1"/>
  <c r="J30" i="11"/>
  <c r="L3" i="11"/>
  <c r="P3" i="11" s="1"/>
  <c r="R3" i="11" s="1"/>
  <c r="T3" i="11" s="1"/>
  <c r="J3" i="11"/>
  <c r="L26" i="11"/>
  <c r="P22" i="11" s="1"/>
  <c r="R22" i="11" s="1"/>
  <c r="T22" i="11" s="1"/>
  <c r="J26" i="11"/>
  <c r="L35" i="11"/>
  <c r="P29" i="11" s="1"/>
  <c r="R29" i="11" s="1"/>
  <c r="T29" i="11" s="1"/>
  <c r="J35" i="11"/>
  <c r="L45" i="11"/>
  <c r="P37" i="11" s="1"/>
  <c r="R37" i="11" s="1"/>
  <c r="T37" i="11" s="1"/>
  <c r="J45" i="11"/>
  <c r="L25" i="11"/>
  <c r="P21" i="11" s="1"/>
  <c r="R21" i="11" s="1"/>
  <c r="T21" i="11" s="1"/>
  <c r="J25" i="11"/>
  <c r="L8" i="11"/>
  <c r="P8" i="11" s="1"/>
  <c r="R8" i="11" s="1"/>
  <c r="T8" i="11" s="1"/>
  <c r="J8" i="11"/>
  <c r="L36" i="11"/>
  <c r="P30" i="11" s="1"/>
  <c r="R30" i="11" s="1"/>
  <c r="T30" i="11" s="1"/>
  <c r="J36" i="11"/>
  <c r="L46" i="11"/>
  <c r="P38" i="11" s="1"/>
  <c r="R38" i="11" s="1"/>
  <c r="T38" i="11" s="1"/>
  <c r="J46" i="11"/>
  <c r="L50" i="11"/>
  <c r="P41" i="11" s="1"/>
  <c r="R41" i="11" s="1"/>
  <c r="T41" i="11" s="1"/>
  <c r="J50" i="11"/>
  <c r="L23" i="11"/>
  <c r="P19" i="11" s="1"/>
  <c r="R19" i="11" s="1"/>
  <c r="T19" i="11" s="1"/>
  <c r="J23" i="11"/>
  <c r="L5" i="11"/>
  <c r="P5" i="11" s="1"/>
  <c r="R5" i="11" s="1"/>
  <c r="T5" i="11" s="1"/>
  <c r="J5" i="11"/>
  <c r="L14" i="11"/>
  <c r="P13" i="11" s="1"/>
  <c r="R13" i="11" s="1"/>
  <c r="T13" i="11" s="1"/>
  <c r="J14" i="11"/>
  <c r="L13" i="11"/>
  <c r="P12" i="11" s="1"/>
  <c r="R12" i="11" s="1"/>
  <c r="T12" i="11" s="1"/>
  <c r="J13" i="11"/>
  <c r="L20" i="11"/>
  <c r="P16" i="11" s="1"/>
  <c r="R16" i="11" s="1"/>
  <c r="T16" i="11" s="1"/>
  <c r="J20" i="11"/>
  <c r="L33" i="11"/>
  <c r="P27" i="11" s="1"/>
  <c r="R27" i="11" s="1"/>
  <c r="T27" i="11" s="1"/>
  <c r="J33" i="11"/>
  <c r="L38" i="11"/>
  <c r="P32" i="11" s="1"/>
  <c r="R32" i="11" s="1"/>
  <c r="T32" i="11" s="1"/>
  <c r="J38" i="11"/>
  <c r="L43" i="11"/>
  <c r="P35" i="11" s="1"/>
  <c r="R35" i="11" s="1"/>
  <c r="T35" i="11" s="1"/>
  <c r="J43" i="11"/>
  <c r="L6" i="11"/>
  <c r="P6" i="11" s="1"/>
  <c r="R6" i="11" s="1"/>
  <c r="T6" i="11" s="1"/>
  <c r="L11" i="11"/>
  <c r="P10" i="11" s="1"/>
  <c r="R10" i="11" s="1"/>
  <c r="T10" i="11" s="1"/>
  <c r="L21" i="11"/>
  <c r="P17" i="11" s="1"/>
  <c r="R17" i="11" s="1"/>
  <c r="T17" i="11" s="1"/>
  <c r="L39" i="11"/>
  <c r="P33" i="11" s="1"/>
  <c r="R33" i="11" s="1"/>
  <c r="T33" i="11" s="1"/>
  <c r="J4" i="11"/>
  <c r="J27" i="11"/>
  <c r="J37" i="11"/>
  <c r="J44" i="11"/>
  <c r="J48" i="11"/>
  <c r="J51" i="11"/>
  <c r="L45" i="9"/>
  <c r="P37" i="9" s="1"/>
  <c r="R37" i="9" s="1"/>
  <c r="T37" i="9" s="1"/>
  <c r="J45" i="9"/>
  <c r="L38" i="9"/>
  <c r="P32" i="9" s="1"/>
  <c r="R32" i="9" s="1"/>
  <c r="T32" i="9" s="1"/>
  <c r="J38" i="9"/>
  <c r="L39" i="9"/>
  <c r="P33" i="9" s="1"/>
  <c r="R33" i="9" s="1"/>
  <c r="T33" i="9" s="1"/>
  <c r="J39" i="9"/>
  <c r="L21" i="9"/>
  <c r="P17" i="9" s="1"/>
  <c r="R17" i="9" s="1"/>
  <c r="T17" i="9" s="1"/>
  <c r="J21" i="9"/>
  <c r="L6" i="9"/>
  <c r="P6" i="9" s="1"/>
  <c r="R6" i="9" s="1"/>
  <c r="T6" i="9" s="1"/>
  <c r="J11" i="9"/>
  <c r="J20" i="9"/>
  <c r="L22" i="9"/>
  <c r="P18" i="9" s="1"/>
  <c r="R18" i="9" s="1"/>
  <c r="T18" i="9" s="1"/>
  <c r="J22" i="9"/>
  <c r="L23" i="9"/>
  <c r="P19" i="9" s="1"/>
  <c r="R19" i="9" s="1"/>
  <c r="T19" i="9" s="1"/>
  <c r="J23" i="9"/>
  <c r="L35" i="9"/>
  <c r="P29" i="9" s="1"/>
  <c r="R29" i="9" s="1"/>
  <c r="T29" i="9" s="1"/>
  <c r="J35" i="9"/>
  <c r="L7" i="9"/>
  <c r="P7" i="9" s="1"/>
  <c r="R7" i="9" s="1"/>
  <c r="T7" i="9" s="1"/>
  <c r="J7" i="9"/>
  <c r="L36" i="9"/>
  <c r="P30" i="9" s="1"/>
  <c r="R30" i="9" s="1"/>
  <c r="T30" i="9" s="1"/>
  <c r="J36" i="9"/>
  <c r="L13" i="9"/>
  <c r="P12" i="9" s="1"/>
  <c r="R12" i="9" s="1"/>
  <c r="T12" i="9" s="1"/>
  <c r="J13" i="9"/>
  <c r="L25" i="9"/>
  <c r="P21" i="9" s="1"/>
  <c r="R21" i="9" s="1"/>
  <c r="T21" i="9" s="1"/>
  <c r="J25" i="9"/>
  <c r="L40" i="9"/>
  <c r="P34" i="9" s="1"/>
  <c r="R34" i="9" s="1"/>
  <c r="T34" i="9" s="1"/>
  <c r="J40" i="9"/>
  <c r="L3" i="9"/>
  <c r="P3" i="9" s="1"/>
  <c r="R3" i="9" s="1"/>
  <c r="T3" i="9" s="1"/>
  <c r="J3" i="9"/>
  <c r="L15" i="9"/>
  <c r="P14" i="9" s="1"/>
  <c r="R14" i="9" s="1"/>
  <c r="T14" i="9" s="1"/>
  <c r="J15" i="9"/>
  <c r="L26" i="9"/>
  <c r="P22" i="9" s="1"/>
  <c r="R22" i="9" s="1"/>
  <c r="T22" i="9" s="1"/>
  <c r="J26" i="9"/>
  <c r="L32" i="9"/>
  <c r="P26" i="9" s="1"/>
  <c r="R26" i="9" s="1"/>
  <c r="T26" i="9" s="1"/>
  <c r="J32" i="9"/>
  <c r="L12" i="9"/>
  <c r="P11" i="9" s="1"/>
  <c r="R11" i="9" s="1"/>
  <c r="T11" i="9" s="1"/>
  <c r="J12" i="9"/>
  <c r="L30" i="9"/>
  <c r="P25" i="9" s="1"/>
  <c r="R25" i="9" s="1"/>
  <c r="T25" i="9" s="1"/>
  <c r="J30" i="9"/>
  <c r="J5" i="9"/>
  <c r="L5" i="9"/>
  <c r="P5" i="9" s="1"/>
  <c r="R5" i="9" s="1"/>
  <c r="T5" i="9" s="1"/>
  <c r="L33" i="9"/>
  <c r="P27" i="9" s="1"/>
  <c r="R27" i="9" s="1"/>
  <c r="T27" i="9" s="1"/>
  <c r="J33" i="9"/>
  <c r="L51" i="9"/>
  <c r="P42" i="9" s="1"/>
  <c r="R42" i="9" s="1"/>
  <c r="T42" i="9" s="1"/>
  <c r="J51" i="9"/>
  <c r="L8" i="9"/>
  <c r="P8" i="9" s="1"/>
  <c r="R8" i="9" s="1"/>
  <c r="T8" i="9" s="1"/>
  <c r="J8" i="9"/>
  <c r="L49" i="9"/>
  <c r="P40" i="9" s="1"/>
  <c r="R40" i="9" s="1"/>
  <c r="T40" i="9" s="1"/>
  <c r="J49" i="9"/>
  <c r="L43" i="9"/>
  <c r="P35" i="9" s="1"/>
  <c r="R35" i="9" s="1"/>
  <c r="T35" i="9" s="1"/>
  <c r="J43" i="9"/>
  <c r="J4" i="9"/>
  <c r="J27" i="9"/>
  <c r="J37" i="9"/>
  <c r="J44" i="9"/>
  <c r="J48" i="9"/>
  <c r="J50" i="9"/>
  <c r="J24" i="9"/>
  <c r="J34" i="9"/>
  <c r="L9" i="9"/>
  <c r="P9" i="9" s="1"/>
  <c r="R9" i="9" s="1"/>
  <c r="T9" i="9" s="1"/>
  <c r="L14" i="9"/>
  <c r="P13" i="9" s="1"/>
  <c r="R13" i="9" s="1"/>
  <c r="T13" i="9" s="1"/>
  <c r="L29" i="9"/>
  <c r="P24" i="9" s="1"/>
  <c r="R24" i="9" s="1"/>
  <c r="T24" i="9" s="1"/>
  <c r="L46" i="9"/>
  <c r="P38" i="9" s="1"/>
  <c r="R38" i="9" s="1"/>
  <c r="T38" i="9" s="1"/>
  <c r="H14" i="7"/>
  <c r="L14" i="7" s="1"/>
  <c r="P13" i="7" s="1"/>
  <c r="R13" i="7" s="1"/>
  <c r="T13" i="7" s="1"/>
  <c r="J16" i="7"/>
  <c r="L16" i="7"/>
  <c r="P15" i="7" s="1"/>
  <c r="R15" i="7" s="1"/>
  <c r="T15" i="7" s="1"/>
  <c r="L45" i="7"/>
  <c r="P37" i="7" s="1"/>
  <c r="R37" i="7" s="1"/>
  <c r="T37" i="7" s="1"/>
  <c r="J45" i="7"/>
  <c r="L38" i="7"/>
  <c r="P32" i="7" s="1"/>
  <c r="R32" i="7" s="1"/>
  <c r="T32" i="7" s="1"/>
  <c r="J38" i="7"/>
  <c r="L6" i="7"/>
  <c r="P6" i="7" s="1"/>
  <c r="R6" i="7" s="1"/>
  <c r="T6" i="7" s="1"/>
  <c r="J6" i="7"/>
  <c r="L39" i="7"/>
  <c r="P33" i="7" s="1"/>
  <c r="R33" i="7" s="1"/>
  <c r="T33" i="7" s="1"/>
  <c r="J39" i="7"/>
  <c r="L11" i="7"/>
  <c r="P10" i="7" s="1"/>
  <c r="R10" i="7" s="1"/>
  <c r="T10" i="7" s="1"/>
  <c r="J11" i="7"/>
  <c r="L21" i="7"/>
  <c r="P17" i="7" s="1"/>
  <c r="R17" i="7" s="1"/>
  <c r="T17" i="7" s="1"/>
  <c r="J21" i="7"/>
  <c r="H13" i="7"/>
  <c r="J13" i="7" s="1"/>
  <c r="J20" i="7"/>
  <c r="J5" i="7"/>
  <c r="L36" i="7"/>
  <c r="P30" i="7" s="1"/>
  <c r="R30" i="7" s="1"/>
  <c r="T30" i="7" s="1"/>
  <c r="J36" i="7"/>
  <c r="L8" i="7"/>
  <c r="P8" i="7" s="1"/>
  <c r="R8" i="7" s="1"/>
  <c r="T8" i="7" s="1"/>
  <c r="J8" i="7"/>
  <c r="L26" i="7"/>
  <c r="P22" i="7" s="1"/>
  <c r="R22" i="7" s="1"/>
  <c r="T22" i="7" s="1"/>
  <c r="J26" i="7"/>
  <c r="L32" i="7"/>
  <c r="P26" i="7" s="1"/>
  <c r="R26" i="7" s="1"/>
  <c r="T26" i="7" s="1"/>
  <c r="J32" i="7"/>
  <c r="L7" i="7"/>
  <c r="P7" i="7" s="1"/>
  <c r="R7" i="7" s="1"/>
  <c r="T7" i="7" s="1"/>
  <c r="J7" i="7"/>
  <c r="L24" i="7"/>
  <c r="P20" i="7" s="1"/>
  <c r="R20" i="7" s="1"/>
  <c r="T20" i="7" s="1"/>
  <c r="J24" i="7"/>
  <c r="J9" i="7"/>
  <c r="L9" i="7"/>
  <c r="P9" i="7" s="1"/>
  <c r="R9" i="7" s="1"/>
  <c r="T9" i="7" s="1"/>
  <c r="L40" i="7"/>
  <c r="P34" i="7" s="1"/>
  <c r="R34" i="7" s="1"/>
  <c r="T34" i="7" s="1"/>
  <c r="J40" i="7"/>
  <c r="L33" i="7"/>
  <c r="P27" i="7" s="1"/>
  <c r="R27" i="7" s="1"/>
  <c r="T27" i="7" s="1"/>
  <c r="J33" i="7"/>
  <c r="L12" i="7"/>
  <c r="P11" i="7" s="1"/>
  <c r="R11" i="7" s="1"/>
  <c r="T11" i="7" s="1"/>
  <c r="J12" i="7"/>
  <c r="L34" i="7"/>
  <c r="P28" i="7" s="1"/>
  <c r="R28" i="7" s="1"/>
  <c r="T28" i="7" s="1"/>
  <c r="J34" i="7"/>
  <c r="L43" i="7"/>
  <c r="P35" i="7" s="1"/>
  <c r="R35" i="7" s="1"/>
  <c r="T35" i="7" s="1"/>
  <c r="J43" i="7"/>
  <c r="L3" i="7"/>
  <c r="P3" i="7" s="1"/>
  <c r="R3" i="7" s="1"/>
  <c r="T3" i="7" s="1"/>
  <c r="J3" i="7"/>
  <c r="L22" i="7"/>
  <c r="P18" i="7" s="1"/>
  <c r="R18" i="7" s="1"/>
  <c r="T18" i="7" s="1"/>
  <c r="J22" i="7"/>
  <c r="L23" i="7"/>
  <c r="P19" i="7" s="1"/>
  <c r="R19" i="7" s="1"/>
  <c r="T19" i="7" s="1"/>
  <c r="J23" i="7"/>
  <c r="L29" i="7"/>
  <c r="P24" i="7" s="1"/>
  <c r="R24" i="7" s="1"/>
  <c r="T24" i="7" s="1"/>
  <c r="J29" i="7"/>
  <c r="J4" i="7"/>
  <c r="J27" i="7"/>
  <c r="J37" i="7"/>
  <c r="J44" i="7"/>
  <c r="J48" i="7"/>
  <c r="J50" i="7"/>
  <c r="J25" i="7"/>
  <c r="J46" i="7"/>
  <c r="J30" i="7"/>
  <c r="J35" i="7"/>
  <c r="J49" i="7"/>
  <c r="J51" i="7"/>
  <c r="J15" i="7"/>
  <c r="L8" i="6"/>
  <c r="P8" i="6" s="1"/>
  <c r="R8" i="6" s="1"/>
  <c r="T8" i="6" s="1"/>
  <c r="J8" i="6"/>
  <c r="J20" i="6"/>
  <c r="L20" i="6"/>
  <c r="P16" i="6" s="1"/>
  <c r="R16" i="6" s="1"/>
  <c r="T16" i="6" s="1"/>
  <c r="L43" i="6"/>
  <c r="P35" i="6" s="1"/>
  <c r="R35" i="6" s="1"/>
  <c r="T35" i="6" s="1"/>
  <c r="J43" i="6"/>
  <c r="L23" i="6"/>
  <c r="P19" i="6" s="1"/>
  <c r="R19" i="6" s="1"/>
  <c r="T19" i="6" s="1"/>
  <c r="J23" i="6"/>
  <c r="J38" i="6"/>
  <c r="L38" i="6"/>
  <c r="P32" i="6" s="1"/>
  <c r="R32" i="6" s="1"/>
  <c r="T32" i="6" s="1"/>
  <c r="J48" i="6"/>
  <c r="H13" i="6"/>
  <c r="L13" i="6" s="1"/>
  <c r="P12" i="6" s="1"/>
  <c r="R12" i="6" s="1"/>
  <c r="T12" i="6" s="1"/>
  <c r="J33" i="6"/>
  <c r="J49" i="6"/>
  <c r="L24" i="6"/>
  <c r="P20" i="6" s="1"/>
  <c r="R20" i="6" s="1"/>
  <c r="T20" i="6" s="1"/>
  <c r="J24" i="6"/>
  <c r="L35" i="6"/>
  <c r="P29" i="6" s="1"/>
  <c r="R29" i="6" s="1"/>
  <c r="T29" i="6" s="1"/>
  <c r="J35" i="6"/>
  <c r="J39" i="6"/>
  <c r="L39" i="6"/>
  <c r="P33" i="6" s="1"/>
  <c r="R33" i="6" s="1"/>
  <c r="T33" i="6" s="1"/>
  <c r="L21" i="6"/>
  <c r="P17" i="6" s="1"/>
  <c r="R17" i="6" s="1"/>
  <c r="T17" i="6" s="1"/>
  <c r="J21" i="6"/>
  <c r="L25" i="6"/>
  <c r="P21" i="6" s="1"/>
  <c r="R21" i="6" s="1"/>
  <c r="T21" i="6" s="1"/>
  <c r="J25" i="6"/>
  <c r="J44" i="6"/>
  <c r="L44" i="6"/>
  <c r="P36" i="6" s="1"/>
  <c r="R36" i="6" s="1"/>
  <c r="T36" i="6" s="1"/>
  <c r="J4" i="6"/>
  <c r="L4" i="6"/>
  <c r="P4" i="6" s="1"/>
  <c r="R4" i="6" s="1"/>
  <c r="T4" i="6" s="1"/>
  <c r="J27" i="6"/>
  <c r="L27" i="6"/>
  <c r="P23" i="6" s="1"/>
  <c r="R23" i="6" s="1"/>
  <c r="T23" i="6" s="1"/>
  <c r="J37" i="6"/>
  <c r="L37" i="6"/>
  <c r="P31" i="6" s="1"/>
  <c r="R31" i="6" s="1"/>
  <c r="T31" i="6" s="1"/>
  <c r="L5" i="6"/>
  <c r="P5" i="6" s="1"/>
  <c r="R5" i="6" s="1"/>
  <c r="T5" i="6" s="1"/>
  <c r="J5" i="6"/>
  <c r="J9" i="6"/>
  <c r="L9" i="6"/>
  <c r="P9" i="6" s="1"/>
  <c r="R9" i="6" s="1"/>
  <c r="T9" i="6" s="1"/>
  <c r="L45" i="6"/>
  <c r="P37" i="6" s="1"/>
  <c r="R37" i="6" s="1"/>
  <c r="T37" i="6" s="1"/>
  <c r="J45" i="6"/>
  <c r="L6" i="6"/>
  <c r="P6" i="6" s="1"/>
  <c r="R6" i="6" s="1"/>
  <c r="T6" i="6" s="1"/>
  <c r="J6" i="6"/>
  <c r="L14" i="6"/>
  <c r="P13" i="6" s="1"/>
  <c r="R13" i="6" s="1"/>
  <c r="T13" i="6" s="1"/>
  <c r="J14" i="6"/>
  <c r="L29" i="6"/>
  <c r="P24" i="6" s="1"/>
  <c r="R24" i="6" s="1"/>
  <c r="T24" i="6" s="1"/>
  <c r="J29" i="6"/>
  <c r="L46" i="6"/>
  <c r="P38" i="6" s="1"/>
  <c r="R38" i="6" s="1"/>
  <c r="T38" i="6" s="1"/>
  <c r="J46" i="6"/>
  <c r="L50" i="6"/>
  <c r="P41" i="6" s="1"/>
  <c r="R41" i="6" s="1"/>
  <c r="T41" i="6" s="1"/>
  <c r="J50" i="6"/>
  <c r="L11" i="6"/>
  <c r="P10" i="6" s="1"/>
  <c r="R10" i="6" s="1"/>
  <c r="T10" i="6" s="1"/>
  <c r="J11" i="6"/>
  <c r="L30" i="6"/>
  <c r="P25" i="6" s="1"/>
  <c r="R25" i="6" s="1"/>
  <c r="T25" i="6" s="1"/>
  <c r="J30" i="6"/>
  <c r="L34" i="6"/>
  <c r="P28" i="6" s="1"/>
  <c r="R28" i="6" s="1"/>
  <c r="T28" i="6" s="1"/>
  <c r="J34" i="6"/>
  <c r="L51" i="6"/>
  <c r="P42" i="6" s="1"/>
  <c r="R42" i="6" s="1"/>
  <c r="T42" i="6" s="1"/>
  <c r="J51" i="6"/>
  <c r="J3" i="6"/>
  <c r="J16" i="6"/>
  <c r="J26" i="6"/>
  <c r="J36" i="6"/>
  <c r="J15" i="6"/>
  <c r="J7" i="6"/>
  <c r="J12" i="6"/>
  <c r="J22" i="6"/>
  <c r="J32" i="6"/>
  <c r="J40" i="6"/>
  <c r="H13" i="5"/>
  <c r="L16" i="5"/>
  <c r="P15" i="5" s="1"/>
  <c r="R15" i="5" s="1"/>
  <c r="T15" i="5" s="1"/>
  <c r="J16" i="5"/>
  <c r="L39" i="5"/>
  <c r="P33" i="5" s="1"/>
  <c r="R33" i="5" s="1"/>
  <c r="T33" i="5" s="1"/>
  <c r="J39" i="5"/>
  <c r="L30" i="5"/>
  <c r="P25" i="5" s="1"/>
  <c r="R25" i="5" s="1"/>
  <c r="T25" i="5" s="1"/>
  <c r="J30" i="5"/>
  <c r="L37" i="5"/>
  <c r="P31" i="5" s="1"/>
  <c r="R31" i="5" s="1"/>
  <c r="T31" i="5" s="1"/>
  <c r="J37" i="5"/>
  <c r="L48" i="5"/>
  <c r="P39" i="5" s="1"/>
  <c r="R39" i="5" s="1"/>
  <c r="T39" i="5" s="1"/>
  <c r="J48" i="5"/>
  <c r="L36" i="5"/>
  <c r="P30" i="5" s="1"/>
  <c r="R30" i="5" s="1"/>
  <c r="T30" i="5" s="1"/>
  <c r="J36" i="5"/>
  <c r="J3" i="5"/>
  <c r="L3" i="5"/>
  <c r="P3" i="5" s="1"/>
  <c r="R3" i="5" s="1"/>
  <c r="T3" i="5" s="1"/>
  <c r="L43" i="5"/>
  <c r="P35" i="5" s="1"/>
  <c r="R35" i="5" s="1"/>
  <c r="T35" i="5" s="1"/>
  <c r="J43" i="5"/>
  <c r="L23" i="5"/>
  <c r="P19" i="5" s="1"/>
  <c r="R19" i="5" s="1"/>
  <c r="T19" i="5" s="1"/>
  <c r="J23" i="5"/>
  <c r="L4" i="5"/>
  <c r="P4" i="5" s="1"/>
  <c r="R4" i="5" s="1"/>
  <c r="T4" i="5" s="1"/>
  <c r="J4" i="5"/>
  <c r="L25" i="5"/>
  <c r="P21" i="5" s="1"/>
  <c r="R21" i="5" s="1"/>
  <c r="T21" i="5" s="1"/>
  <c r="J25" i="5"/>
  <c r="J32" i="5"/>
  <c r="L32" i="5"/>
  <c r="P26" i="5" s="1"/>
  <c r="R26" i="5" s="1"/>
  <c r="T26" i="5" s="1"/>
  <c r="L44" i="5"/>
  <c r="P36" i="5" s="1"/>
  <c r="R36" i="5" s="1"/>
  <c r="T36" i="5" s="1"/>
  <c r="J44" i="5"/>
  <c r="L8" i="5"/>
  <c r="P8" i="5" s="1"/>
  <c r="R8" i="5" s="1"/>
  <c r="T8" i="5" s="1"/>
  <c r="J8" i="5"/>
  <c r="L15" i="5"/>
  <c r="P14" i="5" s="1"/>
  <c r="R14" i="5" s="1"/>
  <c r="T14" i="5" s="1"/>
  <c r="J15" i="5"/>
  <c r="J11" i="5"/>
  <c r="L11" i="5"/>
  <c r="P10" i="5" s="1"/>
  <c r="R10" i="5" s="1"/>
  <c r="T10" i="5" s="1"/>
  <c r="L26" i="5"/>
  <c r="P22" i="5" s="1"/>
  <c r="R22" i="5" s="1"/>
  <c r="T22" i="5" s="1"/>
  <c r="J26" i="5"/>
  <c r="L33" i="5"/>
  <c r="P27" i="5" s="1"/>
  <c r="R27" i="5" s="1"/>
  <c r="T27" i="5" s="1"/>
  <c r="J33" i="5"/>
  <c r="L50" i="5"/>
  <c r="P41" i="5" s="1"/>
  <c r="R41" i="5" s="1"/>
  <c r="T41" i="5" s="1"/>
  <c r="J50" i="5"/>
  <c r="L27" i="5"/>
  <c r="P23" i="5" s="1"/>
  <c r="R23" i="5" s="1"/>
  <c r="T23" i="5" s="1"/>
  <c r="J27" i="5"/>
  <c r="J12" i="5"/>
  <c r="L12" i="5"/>
  <c r="P11" i="5" s="1"/>
  <c r="R11" i="5" s="1"/>
  <c r="T11" i="5" s="1"/>
  <c r="L13" i="5"/>
  <c r="P12" i="5" s="1"/>
  <c r="R12" i="5" s="1"/>
  <c r="T12" i="5" s="1"/>
  <c r="J13" i="5"/>
  <c r="J21" i="5"/>
  <c r="L21" i="5"/>
  <c r="P17" i="5" s="1"/>
  <c r="R17" i="5" s="1"/>
  <c r="T17" i="5" s="1"/>
  <c r="J6" i="5"/>
  <c r="L6" i="5"/>
  <c r="P6" i="5" s="1"/>
  <c r="R6" i="5" s="1"/>
  <c r="T6" i="5" s="1"/>
  <c r="J7" i="5"/>
  <c r="L7" i="5"/>
  <c r="P7" i="5" s="1"/>
  <c r="R7" i="5" s="1"/>
  <c r="T7" i="5" s="1"/>
  <c r="J22" i="5"/>
  <c r="L22" i="5"/>
  <c r="P18" i="5" s="1"/>
  <c r="R18" i="5" s="1"/>
  <c r="T18" i="5" s="1"/>
  <c r="L35" i="5"/>
  <c r="P29" i="5" s="1"/>
  <c r="R29" i="5" s="1"/>
  <c r="T29" i="5" s="1"/>
  <c r="J35" i="5"/>
  <c r="J40" i="5"/>
  <c r="L40" i="5"/>
  <c r="P34" i="5" s="1"/>
  <c r="R34" i="5" s="1"/>
  <c r="T34" i="5" s="1"/>
  <c r="J5" i="5"/>
  <c r="J20" i="5"/>
  <c r="J38" i="5"/>
  <c r="J45" i="5"/>
  <c r="J9" i="5"/>
  <c r="J14" i="5"/>
  <c r="J24" i="5"/>
  <c r="L29" i="5"/>
  <c r="P24" i="5" s="1"/>
  <c r="R24" i="5" s="1"/>
  <c r="T24" i="5" s="1"/>
  <c r="L34" i="5"/>
  <c r="P28" i="5" s="1"/>
  <c r="R28" i="5" s="1"/>
  <c r="T28" i="5" s="1"/>
  <c r="L46" i="5"/>
  <c r="P38" i="5" s="1"/>
  <c r="R38" i="5" s="1"/>
  <c r="T38" i="5" s="1"/>
  <c r="J49" i="5"/>
  <c r="J51" i="5"/>
  <c r="J36" i="4"/>
  <c r="L36" i="4"/>
  <c r="P30" i="4" s="1"/>
  <c r="R30" i="4" s="1"/>
  <c r="T30" i="4" s="1"/>
  <c r="L43" i="4"/>
  <c r="P35" i="4" s="1"/>
  <c r="R35" i="4" s="1"/>
  <c r="T35" i="4" s="1"/>
  <c r="J43" i="4"/>
  <c r="L3" i="4"/>
  <c r="P3" i="4" s="1"/>
  <c r="R3" i="4" s="1"/>
  <c r="T3" i="4" s="1"/>
  <c r="J3" i="4"/>
  <c r="L37" i="4"/>
  <c r="P31" i="4" s="1"/>
  <c r="R31" i="4" s="1"/>
  <c r="T31" i="4" s="1"/>
  <c r="J37" i="4"/>
  <c r="L44" i="4"/>
  <c r="P36" i="4" s="1"/>
  <c r="R36" i="4" s="1"/>
  <c r="T36" i="4" s="1"/>
  <c r="J44" i="4"/>
  <c r="L11" i="4"/>
  <c r="P10" i="4" s="1"/>
  <c r="R10" i="4" s="1"/>
  <c r="T10" i="4" s="1"/>
  <c r="J11" i="4"/>
  <c r="L38" i="4"/>
  <c r="P32" i="4" s="1"/>
  <c r="R32" i="4" s="1"/>
  <c r="T32" i="4" s="1"/>
  <c r="J38" i="4"/>
  <c r="L45" i="4"/>
  <c r="P37" i="4" s="1"/>
  <c r="R37" i="4" s="1"/>
  <c r="T37" i="4" s="1"/>
  <c r="J45" i="4"/>
  <c r="L50" i="4"/>
  <c r="P41" i="4" s="1"/>
  <c r="R41" i="4" s="1"/>
  <c r="T41" i="4" s="1"/>
  <c r="J50" i="4"/>
  <c r="L20" i="4"/>
  <c r="P16" i="4" s="1"/>
  <c r="R16" i="4" s="1"/>
  <c r="T16" i="4" s="1"/>
  <c r="J20" i="4"/>
  <c r="L39" i="4"/>
  <c r="P33" i="4" s="1"/>
  <c r="R33" i="4" s="1"/>
  <c r="T33" i="4" s="1"/>
  <c r="J39" i="4"/>
  <c r="L46" i="4"/>
  <c r="P38" i="4" s="1"/>
  <c r="R38" i="4" s="1"/>
  <c r="T38" i="4" s="1"/>
  <c r="J46" i="4"/>
  <c r="L23" i="4"/>
  <c r="P19" i="4" s="1"/>
  <c r="R19" i="4" s="1"/>
  <c r="T19" i="4" s="1"/>
  <c r="J23" i="4"/>
  <c r="L9" i="4"/>
  <c r="P9" i="4" s="1"/>
  <c r="R9" i="4" s="1"/>
  <c r="T9" i="4" s="1"/>
  <c r="J9" i="4"/>
  <c r="J26" i="4"/>
  <c r="L26" i="4"/>
  <c r="P22" i="4" s="1"/>
  <c r="R22" i="4" s="1"/>
  <c r="T22" i="4" s="1"/>
  <c r="L6" i="4"/>
  <c r="P6" i="4" s="1"/>
  <c r="R6" i="4" s="1"/>
  <c r="T6" i="4" s="1"/>
  <c r="J6" i="4"/>
  <c r="L21" i="4"/>
  <c r="P17" i="4" s="1"/>
  <c r="R17" i="4" s="1"/>
  <c r="T17" i="4" s="1"/>
  <c r="J21" i="4"/>
  <c r="L27" i="4"/>
  <c r="P23" i="4" s="1"/>
  <c r="R23" i="4" s="1"/>
  <c r="T23" i="4" s="1"/>
  <c r="J27" i="4"/>
  <c r="L33" i="4"/>
  <c r="P27" i="4" s="1"/>
  <c r="R27" i="4" s="1"/>
  <c r="T27" i="4" s="1"/>
  <c r="J33" i="4"/>
  <c r="L24" i="4"/>
  <c r="P20" i="4" s="1"/>
  <c r="R20" i="4" s="1"/>
  <c r="T20" i="4" s="1"/>
  <c r="J24" i="4"/>
  <c r="L5" i="4"/>
  <c r="P5" i="4" s="1"/>
  <c r="R5" i="4" s="1"/>
  <c r="T5" i="4" s="1"/>
  <c r="J5" i="4"/>
  <c r="L13" i="4"/>
  <c r="P12" i="4" s="1"/>
  <c r="R12" i="4" s="1"/>
  <c r="T12" i="4" s="1"/>
  <c r="J13" i="4"/>
  <c r="L14" i="4"/>
  <c r="P13" i="4" s="1"/>
  <c r="R13" i="4" s="1"/>
  <c r="T13" i="4" s="1"/>
  <c r="J14" i="4"/>
  <c r="L34" i="4"/>
  <c r="P28" i="4" s="1"/>
  <c r="R28" i="4" s="1"/>
  <c r="T28" i="4" s="1"/>
  <c r="J34" i="4"/>
  <c r="L48" i="4"/>
  <c r="P39" i="4" s="1"/>
  <c r="R39" i="4" s="1"/>
  <c r="T39" i="4" s="1"/>
  <c r="J48" i="4"/>
  <c r="L8" i="4"/>
  <c r="P8" i="4" s="1"/>
  <c r="R8" i="4" s="1"/>
  <c r="T8" i="4" s="1"/>
  <c r="J8" i="4"/>
  <c r="L4" i="4"/>
  <c r="P4" i="4" s="1"/>
  <c r="R4" i="4" s="1"/>
  <c r="T4" i="4" s="1"/>
  <c r="J4" i="4"/>
  <c r="L29" i="4"/>
  <c r="P24" i="4" s="1"/>
  <c r="R24" i="4" s="1"/>
  <c r="T24" i="4" s="1"/>
  <c r="J29" i="4"/>
  <c r="L7" i="4"/>
  <c r="P7" i="4" s="1"/>
  <c r="R7" i="4" s="1"/>
  <c r="T7" i="4" s="1"/>
  <c r="L12" i="4"/>
  <c r="P11" i="4" s="1"/>
  <c r="R11" i="4" s="1"/>
  <c r="T11" i="4" s="1"/>
  <c r="L22" i="4"/>
  <c r="P18" i="4" s="1"/>
  <c r="R18" i="4" s="1"/>
  <c r="T18" i="4" s="1"/>
  <c r="L32" i="4"/>
  <c r="P26" i="4" s="1"/>
  <c r="R26" i="4" s="1"/>
  <c r="T26" i="4" s="1"/>
  <c r="L40" i="4"/>
  <c r="P34" i="4" s="1"/>
  <c r="R34" i="4" s="1"/>
  <c r="T34" i="4" s="1"/>
  <c r="J25" i="4"/>
  <c r="J30" i="4"/>
  <c r="J35" i="4"/>
  <c r="J15" i="4"/>
  <c r="L9" i="3"/>
  <c r="P9" i="3" s="1"/>
  <c r="R9" i="3" s="1"/>
  <c r="J9" i="3"/>
  <c r="L5" i="3"/>
  <c r="P5" i="3" s="1"/>
  <c r="R5" i="3" s="1"/>
  <c r="J5" i="3"/>
  <c r="L49" i="3"/>
  <c r="P40" i="3" s="1"/>
  <c r="R40" i="3" s="1"/>
  <c r="H13" i="3"/>
  <c r="J34" i="3"/>
  <c r="L34" i="3"/>
  <c r="P28" i="3" s="1"/>
  <c r="R28" i="3" s="1"/>
  <c r="J48" i="3"/>
  <c r="L48" i="3"/>
  <c r="P39" i="3" s="1"/>
  <c r="R39" i="3" s="1"/>
  <c r="L6" i="3"/>
  <c r="P6" i="3" s="1"/>
  <c r="R6" i="3" s="1"/>
  <c r="J6" i="3"/>
  <c r="J21" i="3"/>
  <c r="L21" i="3"/>
  <c r="P17" i="3" s="1"/>
  <c r="R17" i="3" s="1"/>
  <c r="L35" i="3"/>
  <c r="P29" i="3" s="1"/>
  <c r="R29" i="3" s="1"/>
  <c r="J35" i="3"/>
  <c r="L32" i="3"/>
  <c r="P26" i="3" s="1"/>
  <c r="R26" i="3" s="1"/>
  <c r="J32" i="3"/>
  <c r="L26" i="3"/>
  <c r="P22" i="3" s="1"/>
  <c r="R22" i="3" s="1"/>
  <c r="J26" i="3"/>
  <c r="J12" i="3"/>
  <c r="L12" i="3"/>
  <c r="P11" i="3" s="1"/>
  <c r="R11" i="3" s="1"/>
  <c r="L36" i="3"/>
  <c r="P30" i="3" s="1"/>
  <c r="R30" i="3" s="1"/>
  <c r="J36" i="3"/>
  <c r="J43" i="3"/>
  <c r="L43" i="3"/>
  <c r="P35" i="3" s="1"/>
  <c r="R35" i="3" s="1"/>
  <c r="J16" i="3"/>
  <c r="L16" i="3"/>
  <c r="P15" i="3" s="1"/>
  <c r="R15" i="3" s="1"/>
  <c r="J38" i="3"/>
  <c r="L38" i="3"/>
  <c r="P32" i="3" s="1"/>
  <c r="R32" i="3" s="1"/>
  <c r="J25" i="3"/>
  <c r="L25" i="3"/>
  <c r="P21" i="3" s="1"/>
  <c r="R21" i="3" s="1"/>
  <c r="L27" i="3"/>
  <c r="P23" i="3" s="1"/>
  <c r="R23" i="3" s="1"/>
  <c r="J27" i="3"/>
  <c r="L22" i="3"/>
  <c r="P18" i="3" s="1"/>
  <c r="R18" i="3" s="1"/>
  <c r="J22" i="3"/>
  <c r="L29" i="3"/>
  <c r="P24" i="3" s="1"/>
  <c r="R24" i="3" s="1"/>
  <c r="J29" i="3"/>
  <c r="J8" i="3"/>
  <c r="L8" i="3"/>
  <c r="P8" i="3" s="1"/>
  <c r="R8" i="3" s="1"/>
  <c r="L23" i="3"/>
  <c r="P19" i="3" s="1"/>
  <c r="R19" i="3" s="1"/>
  <c r="J23" i="3"/>
  <c r="J30" i="3"/>
  <c r="L30" i="3"/>
  <c r="P25" i="3" s="1"/>
  <c r="R25" i="3" s="1"/>
  <c r="L44" i="3"/>
  <c r="P36" i="3" s="1"/>
  <c r="R36" i="3" s="1"/>
  <c r="J44" i="3"/>
  <c r="L4" i="3"/>
  <c r="P4" i="3" s="1"/>
  <c r="R4" i="3" s="1"/>
  <c r="J4" i="3"/>
  <c r="L51" i="3"/>
  <c r="P42" i="3" s="1"/>
  <c r="R42" i="3" s="1"/>
  <c r="J51" i="3"/>
  <c r="L39" i="3"/>
  <c r="P33" i="3" s="1"/>
  <c r="R33" i="3" s="1"/>
  <c r="J39" i="3"/>
  <c r="L46" i="3"/>
  <c r="P38" i="3" s="1"/>
  <c r="R38" i="3" s="1"/>
  <c r="J46" i="3"/>
  <c r="L40" i="3"/>
  <c r="P34" i="3" s="1"/>
  <c r="R34" i="3" s="1"/>
  <c r="J40" i="3"/>
  <c r="L7" i="3"/>
  <c r="P7" i="3" s="1"/>
  <c r="R7" i="3" s="1"/>
  <c r="J7" i="3"/>
  <c r="L3" i="3"/>
  <c r="P3" i="3" s="1"/>
  <c r="R3" i="3" s="1"/>
  <c r="J3" i="3"/>
  <c r="L13" i="3"/>
  <c r="P12" i="3" s="1"/>
  <c r="R12" i="3" s="1"/>
  <c r="J13" i="3"/>
  <c r="L50" i="3"/>
  <c r="P41" i="3" s="1"/>
  <c r="R41" i="3" s="1"/>
  <c r="J50" i="3"/>
  <c r="J15" i="3"/>
  <c r="J37" i="3"/>
  <c r="J45" i="3"/>
  <c r="L24" i="3"/>
  <c r="P20" i="3" s="1"/>
  <c r="R20" i="3" s="1"/>
  <c r="J14" i="3"/>
  <c r="J11" i="3"/>
  <c r="J20" i="3"/>
  <c r="J33" i="3"/>
  <c r="H13" i="1"/>
  <c r="L13" i="1" s="1"/>
  <c r="P12" i="1" s="1"/>
  <c r="R12" i="1" s="1"/>
  <c r="T12" i="1" s="1"/>
  <c r="H14" i="1"/>
  <c r="L14" i="1" s="1"/>
  <c r="P13" i="1" s="1"/>
  <c r="R13" i="1" s="1"/>
  <c r="T13" i="1" s="1"/>
  <c r="J50" i="1"/>
  <c r="J51" i="1"/>
  <c r="L34" i="1"/>
  <c r="P28" i="1" s="1"/>
  <c r="R28" i="1" s="1"/>
  <c r="T28" i="1" s="1"/>
  <c r="J43" i="1"/>
  <c r="J49" i="1"/>
  <c r="J48" i="1"/>
  <c r="L45" i="1"/>
  <c r="P37" i="1" s="1"/>
  <c r="R37" i="1" s="1"/>
  <c r="T37" i="1" s="1"/>
  <c r="J45" i="1"/>
  <c r="J44" i="1"/>
  <c r="J46" i="1"/>
  <c r="L33" i="1"/>
  <c r="P27" i="1" s="1"/>
  <c r="R27" i="1" s="1"/>
  <c r="T27" i="1" s="1"/>
  <c r="J40" i="1"/>
  <c r="L39" i="1"/>
  <c r="P33" i="1" s="1"/>
  <c r="R33" i="1" s="1"/>
  <c r="T33" i="1" s="1"/>
  <c r="L38" i="1"/>
  <c r="P32" i="1" s="1"/>
  <c r="R32" i="1" s="1"/>
  <c r="T32" i="1" s="1"/>
  <c r="L37" i="1"/>
  <c r="P31" i="1" s="1"/>
  <c r="R31" i="1" s="1"/>
  <c r="T31" i="1" s="1"/>
  <c r="L36" i="1"/>
  <c r="P30" i="1" s="1"/>
  <c r="R30" i="1" s="1"/>
  <c r="T30" i="1" s="1"/>
  <c r="L35" i="1"/>
  <c r="P29" i="1" s="1"/>
  <c r="R29" i="1" s="1"/>
  <c r="T29" i="1" s="1"/>
  <c r="J32" i="1"/>
  <c r="L30" i="1"/>
  <c r="P25" i="1" s="1"/>
  <c r="R25" i="1" s="1"/>
  <c r="T25" i="1" s="1"/>
  <c r="J30" i="1"/>
  <c r="L29" i="1"/>
  <c r="P24" i="1" s="1"/>
  <c r="R24" i="1" s="1"/>
  <c r="T24" i="1" s="1"/>
  <c r="L26" i="1"/>
  <c r="P22" i="1" s="1"/>
  <c r="R22" i="1" s="1"/>
  <c r="T22" i="1" s="1"/>
  <c r="J22" i="1"/>
  <c r="L27" i="1"/>
  <c r="P23" i="1" s="1"/>
  <c r="R23" i="1" s="1"/>
  <c r="T23" i="1" s="1"/>
  <c r="L25" i="1"/>
  <c r="P21" i="1" s="1"/>
  <c r="R21" i="1" s="1"/>
  <c r="T21" i="1" s="1"/>
  <c r="L20" i="1"/>
  <c r="P16" i="1" s="1"/>
  <c r="R16" i="1" s="1"/>
  <c r="T16" i="1" s="1"/>
  <c r="L24" i="1"/>
  <c r="P20" i="1" s="1"/>
  <c r="R20" i="1" s="1"/>
  <c r="T20" i="1" s="1"/>
  <c r="L23" i="1"/>
  <c r="P19" i="1" s="1"/>
  <c r="R19" i="1" s="1"/>
  <c r="T19" i="1" s="1"/>
  <c r="L21" i="1"/>
  <c r="P17" i="1" s="1"/>
  <c r="R17" i="1" s="1"/>
  <c r="T17" i="1" s="1"/>
  <c r="L16" i="1"/>
  <c r="P15" i="1" s="1"/>
  <c r="R15" i="1" s="1"/>
  <c r="T15" i="1" s="1"/>
  <c r="L15" i="1"/>
  <c r="P14" i="1" s="1"/>
  <c r="R14" i="1" s="1"/>
  <c r="T14" i="1" s="1"/>
  <c r="J12" i="1"/>
  <c r="L11" i="1"/>
  <c r="P10" i="1" s="1"/>
  <c r="R10" i="1" s="1"/>
  <c r="T10" i="1" s="1"/>
  <c r="J9" i="1"/>
  <c r="L9" i="1"/>
  <c r="P9" i="1" s="1"/>
  <c r="R9" i="1" s="1"/>
  <c r="T9" i="1" s="1"/>
  <c r="J4" i="1"/>
  <c r="L4" i="1"/>
  <c r="P4" i="1" s="1"/>
  <c r="R4" i="1" s="1"/>
  <c r="T4" i="1" s="1"/>
  <c r="J5" i="1"/>
  <c r="L5" i="1"/>
  <c r="P5" i="1" s="1"/>
  <c r="R5" i="1" s="1"/>
  <c r="T5" i="1" s="1"/>
  <c r="J8" i="1"/>
  <c r="L8" i="1"/>
  <c r="P8" i="1" s="1"/>
  <c r="R8" i="1" s="1"/>
  <c r="T8" i="1" s="1"/>
  <c r="J7" i="1"/>
  <c r="L6" i="1"/>
  <c r="P6" i="1" s="1"/>
  <c r="R6" i="1" s="1"/>
  <c r="T6" i="1" s="1"/>
  <c r="L3" i="1"/>
  <c r="P3" i="1" s="1"/>
  <c r="R3" i="1" s="1"/>
  <c r="T3" i="1" s="1"/>
  <c r="J14" i="13" l="1"/>
  <c r="L14" i="13"/>
  <c r="P13" i="13" s="1"/>
  <c r="R13" i="13" s="1"/>
  <c r="T13" i="13" s="1"/>
  <c r="J14" i="12"/>
  <c r="L14" i="12"/>
  <c r="P13" i="12" s="1"/>
  <c r="R13" i="12" s="1"/>
  <c r="T13" i="12" s="1"/>
  <c r="J14" i="7"/>
  <c r="L13" i="7"/>
  <c r="P12" i="7" s="1"/>
  <c r="R12" i="7" s="1"/>
  <c r="T12" i="7" s="1"/>
  <c r="J13" i="6"/>
  <c r="J14" i="1"/>
  <c r="J13" i="1"/>
</calcChain>
</file>

<file path=xl/sharedStrings.xml><?xml version="1.0" encoding="utf-8"?>
<sst xmlns="http://schemas.openxmlformats.org/spreadsheetml/2006/main" count="2379" uniqueCount="480">
  <si>
    <t>//Biomasses</t>
  </si>
  <si>
    <t>parameter</t>
  </si>
  <si>
    <t>SI.MassConcentration</t>
  </si>
  <si>
    <t>X_su_start</t>
  </si>
  <si>
    <t>=</t>
  </si>
  <si>
    <t>X_aa_start</t>
  </si>
  <si>
    <t>X_fa_start</t>
  </si>
  <si>
    <t>X_c4_start</t>
  </si>
  <si>
    <t>X_pro_start</t>
  </si>
  <si>
    <t>X_ac_start</t>
  </si>
  <si>
    <t>X_h2_start</t>
  </si>
  <si>
    <t>//Particulate</t>
  </si>
  <si>
    <t>substrate</t>
  </si>
  <si>
    <t>X_c_start</t>
  </si>
  <si>
    <t>X_i_start</t>
  </si>
  <si>
    <t>X_ch_start[3]</t>
  </si>
  <si>
    <t>X_pr_start[2]</t>
  </si>
  <si>
    <t>X_li_start</t>
  </si>
  <si>
    <t>X_p_start</t>
  </si>
  <si>
    <t>//</t>
  </si>
  <si>
    <t>//Soluble</t>
  </si>
  <si>
    <t>S_i_start</t>
  </si>
  <si>
    <t>S_su_start</t>
  </si>
  <si>
    <t>S_aa_start</t>
  </si>
  <si>
    <t>S_fa_start</t>
  </si>
  <si>
    <t>S_va_start</t>
  </si>
  <si>
    <t>S_bu_start</t>
  </si>
  <si>
    <t>S_pro_start</t>
  </si>
  <si>
    <t>S_ac_start</t>
  </si>
  <si>
    <t>//Inorganic</t>
  </si>
  <si>
    <t>soluble</t>
  </si>
  <si>
    <t>components</t>
  </si>
  <si>
    <t>S_h2_start</t>
  </si>
  <si>
    <t>S_ch4_start</t>
  </si>
  <si>
    <t>//Ionic</t>
  </si>
  <si>
    <t>total</t>
  </si>
  <si>
    <t>Types.MolarDensity_M</t>
  </si>
  <si>
    <t>S_ic_start</t>
  </si>
  <si>
    <t>S_in_start</t>
  </si>
  <si>
    <t>S_ip_start</t>
  </si>
  <si>
    <t>S_cat_start</t>
  </si>
  <si>
    <t>S_ca_start</t>
  </si>
  <si>
    <t>S_mg_start</t>
  </si>
  <si>
    <t>S_an_start</t>
  </si>
  <si>
    <t>ash_start</t>
  </si>
  <si>
    <t>X_lig_start</t>
  </si>
  <si>
    <t/>
  </si>
  <si>
    <t>0</t>
  </si>
  <si>
    <t>//Gas</t>
  </si>
  <si>
    <t>S_gas_h2_start</t>
  </si>
  <si>
    <t>S_gas_ch4_start</t>
  </si>
  <si>
    <t>S_gas_co2_start</t>
  </si>
  <si>
    <t>S_gas_nh3_start</t>
  </si>
  <si>
    <t>X_acp_start</t>
  </si>
  <si>
    <t>X_stru_start</t>
  </si>
  <si>
    <t>X_ccm_start</t>
  </si>
  <si>
    <t>X_mag_start</t>
  </si>
  <si>
    <t>Raw data</t>
  </si>
  <si>
    <t>Data in the correct row</t>
  </si>
  <si>
    <t>To be copied in "StateVariablesADM1"</t>
  </si>
  <si>
    <t>To be copied in the model you are running within the digester modifications</t>
  </si>
  <si>
    <t>x - vector</t>
  </si>
  <si>
    <t>PI state</t>
  </si>
  <si>
    <t>To be copied in the top-level model you are running within the model modifications</t>
  </si>
  <si>
    <r>
      <t xml:space="preserve">The x-vector contains all states of the digester. From OMEdit select a screenshot of the x-vector values. Copy and paste on a OCR such as </t>
    </r>
    <r>
      <rPr>
        <b/>
        <sz val="11"/>
        <color theme="1"/>
        <rFont val="Calibri"/>
        <family val="2"/>
        <scheme val="minor"/>
      </rPr>
      <t>https://brandfolder.com/workbench/extract-text-from-image</t>
    </r>
    <r>
      <rPr>
        <sz val="11"/>
        <color theme="1"/>
        <rFont val="Calibri"/>
        <family val="2"/>
        <scheme val="minor"/>
      </rPr>
      <t>. Copy the text generated to the excel file. Copy the last column in the model or in the top-level model ("digester." is needed). Do the same for the PI state, which is found as "PIDblockname.I.y".</t>
    </r>
  </si>
  <si>
    <t>Note: Salts that doesn't precipitate go below zero-machine value and they are unstable</t>
  </si>
  <si>
    <t>2.61645</t>
  </si>
  <si>
    <t>0.565469</t>
  </si>
  <si>
    <t>0.28754</t>
  </si>
  <si>
    <t>0.497314</t>
  </si>
  <si>
    <t>0.315713</t>
  </si>
  <si>
    <t>1.21554</t>
  </si>
  <si>
    <t>0.620361</t>
  </si>
  <si>
    <t>36.0924</t>
  </si>
  <si>
    <t>0.82044</t>
  </si>
  <si>
    <t>0.709793</t>
  </si>
  <si>
    <t>10.3487</t>
  </si>
  <si>
    <t>0.140817</t>
  </si>
  <si>
    <t>0.864189</t>
  </si>
  <si>
    <t>0.704477</t>
  </si>
  <si>
    <t>0.761392</t>
  </si>
  <si>
    <t>0.190348</t>
  </si>
  <si>
    <t>0.0246646</t>
  </si>
  <si>
    <t>0.0260042</t>
  </si>
  <si>
    <t>0.0444484</t>
  </si>
  <si>
    <t>0.00353313</t>
  </si>
  <si>
    <t>0.00643611</t>
  </si>
  <si>
    <t>0.0508866</t>
  </si>
  <si>
    <t>0.251591</t>
  </si>
  <si>
    <t>6.87717e-07</t>
  </si>
  <si>
    <t>0.262187</t>
  </si>
  <si>
    <t>0.256529</t>
  </si>
  <si>
    <t>0.157827</t>
  </si>
  <si>
    <t>0.00504943</t>
  </si>
  <si>
    <t>0.121528</t>
  </si>
  <si>
    <t>3.36621e-05</t>
  </si>
  <si>
    <t>5.68718e-05</t>
  </si>
  <si>
    <t>0.0156</t>
  </si>
  <si>
    <t>14.1091</t>
  </si>
  <si>
    <t>13.3149</t>
  </si>
  <si>
    <t>5.43453e-06</t>
  </si>
  <si>
    <t>1.23292</t>
  </si>
  <si>
    <t>0.0171203</t>
  </si>
  <si>
    <t>3.28406e-06</t>
  </si>
  <si>
    <t>8.8402e-12</t>
  </si>
  <si>
    <t>0.0100851</t>
  </si>
  <si>
    <t>0.00543034</t>
  </si>
  <si>
    <t>1.40193e-9</t>
  </si>
  <si>
    <t>3.33579</t>
  </si>
  <si>
    <t>0.617263</t>
  </si>
  <si>
    <t>0.340707</t>
  </si>
  <si>
    <t>0.588298</t>
  </si>
  <si>
    <t>0.394443</t>
  </si>
  <si>
    <t>1.58728</t>
  </si>
  <si>
    <t>0.76925</t>
  </si>
  <si>
    <t>38.7348</t>
  </si>
  <si>
    <t>1.04817</t>
  </si>
  <si>
    <t>0.899856</t>
  </si>
  <si>
    <t>13.1045</t>
  </si>
  <si>
    <t>0.150361</t>
  </si>
  <si>
    <t>0.959917</t>
  </si>
  <si>
    <t>0.834207</t>
  </si>
  <si>
    <t>0.951686</t>
  </si>
  <si>
    <t>0.237922</t>
  </si>
  <si>
    <t>0.0246962</t>
  </si>
  <si>
    <t>0.0260383</t>
  </si>
  <si>
    <t>0.0445159</t>
  </si>
  <si>
    <t>0.00337488</t>
  </si>
  <si>
    <t>0.00648072</t>
  </si>
  <si>
    <t>0.0509667</t>
  </si>
  <si>
    <t>0.221278</t>
  </si>
  <si>
    <t>6.88586e-07</t>
  </si>
  <si>
    <t>0.328428</t>
  </si>
  <si>
    <t>0.244466</t>
  </si>
  <si>
    <t>0.152886</t>
  </si>
  <si>
    <t>0.00385423</t>
  </si>
  <si>
    <t>0.109064</t>
  </si>
  <si>
    <t>3.74676e-05</t>
  </si>
  <si>
    <t>8.11035e-05</t>
  </si>
  <si>
    <t>0.014</t>
  </si>
  <si>
    <t>13.9041</t>
  </si>
  <si>
    <t>12.7707</t>
  </si>
  <si>
    <t>4.44812e-06</t>
  </si>
  <si>
    <t>1.25697</t>
  </si>
  <si>
    <t>0.016745</t>
  </si>
  <si>
    <t>2.97219e-06</t>
  </si>
  <si>
    <t>8.43372e-12</t>
  </si>
  <si>
    <t>0.00902089</t>
  </si>
  <si>
    <t>0.00486653</t>
  </si>
  <si>
    <t>1.77975e-9</t>
  </si>
  <si>
    <t>0.156028</t>
  </si>
  <si>
    <t>0.435487</t>
  </si>
  <si>
    <t>0.273309</t>
  </si>
  <si>
    <t>0.175828</t>
  </si>
  <si>
    <t>0.0599003</t>
  </si>
  <si>
    <t>0.431741</t>
  </si>
  <si>
    <t>0.175683</t>
  </si>
  <si>
    <t>0.291302</t>
  </si>
  <si>
    <t>10.8967</t>
  </si>
  <si>
    <t>1.02655e-67</t>
  </si>
  <si>
    <t>0.229839</t>
  </si>
  <si>
    <t>0.000260655</t>
  </si>
  <si>
    <t>6.05665e-68</t>
  </si>
  <si>
    <t>1.33439</t>
  </si>
  <si>
    <t>1.27877</t>
  </si>
  <si>
    <t>0.487235</t>
  </si>
  <si>
    <t>0.0154883</t>
  </si>
  <si>
    <t>0.0393944</t>
  </si>
  <si>
    <t>0.0415751</t>
  </si>
  <si>
    <t>0.146442</t>
  </si>
  <si>
    <t>0.0065279</t>
  </si>
  <si>
    <t>0.0073302</t>
  </si>
  <si>
    <t>0.0393866</t>
  </si>
  <si>
    <t>0.0462823</t>
  </si>
  <si>
    <t>9.716e-07</t>
  </si>
  <si>
    <t>0.0395999</t>
  </si>
  <si>
    <t>0.0978747</t>
  </si>
  <si>
    <t>0.0486144</t>
  </si>
  <si>
    <t>0.0041804</t>
  </si>
  <si>
    <t>0.105552</t>
  </si>
  <si>
    <t>6.80009e-06</t>
  </si>
  <si>
    <t>7.20234e-06</t>
  </si>
  <si>
    <t>0.061095</t>
  </si>
  <si>
    <t>7.86867</t>
  </si>
  <si>
    <t>0.266717</t>
  </si>
  <si>
    <t>4.5979e-05</t>
  </si>
  <si>
    <t>1.18341</t>
  </si>
  <si>
    <t>0.0197639</t>
  </si>
  <si>
    <t>2.89279e-07</t>
  </si>
  <si>
    <t>1.98538e-19</t>
  </si>
  <si>
    <t>-4.81656e-20</t>
  </si>
  <si>
    <t>-4.07459e-15</t>
  </si>
  <si>
    <t>716434e-12</t>
  </si>
  <si>
    <t>2.15848</t>
  </si>
  <si>
    <t>0.596949</t>
  </si>
  <si>
    <t>0.304025</t>
  </si>
  <si>
    <t>0.439858</t>
  </si>
  <si>
    <t>0.266651</t>
  </si>
  <si>
    <t>1.23709</t>
  </si>
  <si>
    <t>0.548733</t>
  </si>
  <si>
    <t>29.5283</t>
  </si>
  <si>
    <t>0.794862</t>
  </si>
  <si>
    <t>0.819973</t>
  </si>
  <si>
    <t>7.29863</t>
  </si>
  <si>
    <t>0.208158</t>
  </si>
  <si>
    <t>1.03765</t>
  </si>
  <si>
    <t>0.948451</t>
  </si>
  <si>
    <t>0.4147</t>
  </si>
  <si>
    <t>0.103675</t>
  </si>
  <si>
    <t>0.0311722</t>
  </si>
  <si>
    <t>0.0330603</t>
  </si>
  <si>
    <t>0.0598118</t>
  </si>
  <si>
    <t>0.00520717</t>
  </si>
  <si>
    <t>0.00881336</t>
  </si>
  <si>
    <t>0.0692453</t>
  </si>
  <si>
    <t>0.0932201</t>
  </si>
  <si>
    <t>8.65904e-07</t>
  </si>
  <si>
    <t>0.315594</t>
  </si>
  <si>
    <t>0.2406</t>
  </si>
  <si>
    <t>0.137783</t>
  </si>
  <si>
    <t>0.00550002</t>
  </si>
  <si>
    <t>0.125265</t>
  </si>
  <si>
    <t>3.794e-05</t>
  </si>
  <si>
    <t>6.27865e-05</t>
  </si>
  <si>
    <t>0.01784</t>
  </si>
  <si>
    <t>13.1819</t>
  </si>
  <si>
    <t>12.5955</t>
  </si>
  <si>
    <t>6.03452e-06</t>
  </si>
  <si>
    <t>1.30508</t>
  </si>
  <si>
    <t>0.0159933</t>
  </si>
  <si>
    <t>2.70213e-06</t>
  </si>
  <si>
    <t>1.58199e-11</t>
  </si>
  <si>
    <t>0.0108936</t>
  </si>
  <si>
    <t>0.00583506</t>
  </si>
  <si>
    <t>2.30097e-09</t>
  </si>
  <si>
    <t>﻿</t>
  </si>
  <si>
    <t>3.04568</t>
  </si>
  <si>
    <t>0.67667</t>
  </si>
  <si>
    <t>0.340835</t>
  </si>
  <si>
    <t>0.557859</t>
  </si>
  <si>
    <t>0.36489</t>
  </si>
  <si>
    <t>1.54389</t>
  </si>
  <si>
    <t>0.727093</t>
  </si>
  <si>
    <t>-2.62044e-29</t>
  </si>
  <si>
    <t>37.9831</t>
  </si>
  <si>
    <t>1.16131</t>
  </si>
  <si>
    <t>0.953084</t>
  </si>
  <si>
    <t>14.2649</t>
  </si>
  <si>
    <t>0.212074</t>
  </si>
  <si>
    <t>1.19609</t>
  </si>
  <si>
    <t>1.01529</t>
  </si>
  <si>
    <t>0.591706</t>
  </si>
  <si>
    <t>0.147927</t>
  </si>
  <si>
    <t>0.0298357</t>
  </si>
  <si>
    <t>0.0316043</t>
  </si>
  <si>
    <t>0.0565353</t>
  </si>
  <si>
    <t>0.00462287</t>
  </si>
  <si>
    <t>0.00837907</t>
  </si>
  <si>
    <t>0.0653039</t>
  </si>
  <si>
    <t>0.556736</t>
  </si>
  <si>
    <t>8.29418e-07</t>
  </si>
  <si>
    <t>0.0570561</t>
  </si>
  <si>
    <t>0.228559</t>
  </si>
  <si>
    <t>0.144682</t>
  </si>
  <si>
    <t>0.00478087</t>
  </si>
  <si>
    <t>0.112651</t>
  </si>
  <si>
    <t>3.29384e-05</t>
  </si>
  <si>
    <t>5.55652e-05</t>
  </si>
  <si>
    <t>0.0144605</t>
  </si>
  <si>
    <t>19.6505</t>
  </si>
  <si>
    <t>14.4374</t>
  </si>
  <si>
    <t>2.85573e-05</t>
  </si>
  <si>
    <t>1.27199</t>
  </si>
  <si>
    <t>0.0165083</t>
  </si>
  <si>
    <t>3.36995e-06</t>
  </si>
  <si>
    <t>1.38933e-11</t>
  </si>
  <si>
    <t>0.00934577</t>
  </si>
  <si>
    <t>0.00503224</t>
  </si>
  <si>
    <t>2.14477e-09</t>
  </si>
  <si>
    <t>2.30253</t>
  </si>
  <si>
    <t>0.58842</t>
  </si>
  <si>
    <t>0.200007</t>
  </si>
  <si>
    <t>0.449131</t>
  </si>
  <si>
    <t>0.280706</t>
  </si>
  <si>
    <t>1.15432</t>
  </si>
  <si>
    <t>0.544998</t>
  </si>
  <si>
    <t>27.4996</t>
  </si>
  <si>
    <t>0.955696</t>
  </si>
  <si>
    <t>0.90393</t>
  </si>
  <si>
    <t>3.35553</t>
  </si>
  <si>
    <t>0.255591</t>
  </si>
  <si>
    <t>0.769892</t>
  </si>
  <si>
    <t>0.625897</t>
  </si>
  <si>
    <t>0.412613</t>
  </si>
  <si>
    <t>0.103153</t>
  </si>
  <si>
    <t>0.0312607</t>
  </si>
  <si>
    <t>0.0261686</t>
  </si>
  <si>
    <t>0.060022</t>
  </si>
  <si>
    <t>0.00511632</t>
  </si>
  <si>
    <t>0.00887421</t>
  </si>
  <si>
    <t>0.0697536</t>
  </si>
  <si>
    <t>0.0797636</t>
  </si>
  <si>
    <t>8.68318e-07</t>
  </si>
  <si>
    <t>0.300413</t>
  </si>
  <si>
    <t>0.208188</t>
  </si>
  <si>
    <t>0.112162</t>
  </si>
  <si>
    <t>0.00321926</t>
  </si>
  <si>
    <t>0.110979</t>
  </si>
  <si>
    <t>4.99332e-05</t>
  </si>
  <si>
    <t>0.000147696</t>
  </si>
  <si>
    <t>0.01696</t>
  </si>
  <si>
    <t>12.7355</t>
  </si>
  <si>
    <t>7.77306</t>
  </si>
  <si>
    <t>6.18637e-06</t>
  </si>
  <si>
    <t>1.27063</t>
  </si>
  <si>
    <t>0.0165325</t>
  </si>
  <si>
    <t>1.8812e-06</t>
  </si>
  <si>
    <t>1.46744e-11</t>
  </si>
  <si>
    <t>0.00933855</t>
  </si>
  <si>
    <t>0.00499007</t>
  </si>
  <si>
    <t>4.46837e-09</t>
  </si>
  <si>
    <t>aa</t>
  </si>
  <si>
    <t>ac</t>
  </si>
  <si>
    <t>an</t>
  </si>
  <si>
    <t>bu</t>
  </si>
  <si>
    <t>ca</t>
  </si>
  <si>
    <t>cat</t>
  </si>
  <si>
    <t>ch4</t>
  </si>
  <si>
    <t>fa</t>
  </si>
  <si>
    <t>h2</t>
  </si>
  <si>
    <t>sich</t>
  </si>
  <si>
    <t>sipr</t>
  </si>
  <si>
    <t>sili</t>
  </si>
  <si>
    <t>si</t>
  </si>
  <si>
    <t>tic</t>
  </si>
  <si>
    <t>tan</t>
  </si>
  <si>
    <t>ortop</t>
  </si>
  <si>
    <t>mg</t>
  </si>
  <si>
    <t>pro</t>
  </si>
  <si>
    <t>su</t>
  </si>
  <si>
    <t>va</t>
  </si>
  <si>
    <t>xaa</t>
  </si>
  <si>
    <t>xac</t>
  </si>
  <si>
    <t>xacp</t>
  </si>
  <si>
    <t>xcch</t>
  </si>
  <si>
    <t>xcpr</t>
  </si>
  <si>
    <t>xcli</t>
  </si>
  <si>
    <t>xcxi</t>
  </si>
  <si>
    <t>xcsi</t>
  </si>
  <si>
    <t>xclig</t>
  </si>
  <si>
    <t>xc</t>
  </si>
  <si>
    <t>xc4</t>
  </si>
  <si>
    <t>xccm</t>
  </si>
  <si>
    <t>xchr</t>
  </si>
  <si>
    <t>xchm</t>
  </si>
  <si>
    <t>xchs</t>
  </si>
  <si>
    <t>xfa</t>
  </si>
  <si>
    <t>xh2</t>
  </si>
  <si>
    <t>xich</t>
  </si>
  <si>
    <t>xipr</t>
  </si>
  <si>
    <t>xili</t>
  </si>
  <si>
    <t>xi</t>
  </si>
  <si>
    <t>xli</t>
  </si>
  <si>
    <t>xlig</t>
  </si>
  <si>
    <t>xmag</t>
  </si>
  <si>
    <t>xp</t>
  </si>
  <si>
    <t>xprr</t>
  </si>
  <si>
    <t>xprs</t>
  </si>
  <si>
    <t>xpro</t>
  </si>
  <si>
    <t>xstru</t>
  </si>
  <si>
    <t>xsu</t>
  </si>
  <si>
    <t>ashp</t>
  </si>
  <si>
    <t>UIT 22.12.23 reinit per inoculo BMP</t>
  </si>
  <si>
    <t>Preso da simulazione solo pilota con parametri aggiornati e condizionoi reali (no reali per pomodoro) al giorno 57 + 23 ore (22/12)</t>
  </si>
  <si>
    <t>Reduced load by 80% + parameter set values found with 13.01.24 calibration only pilot</t>
  </si>
  <si>
    <t>1.65728</t>
  </si>
  <si>
    <t>0.541241</t>
  </si>
  <si>
    <t>0.160968</t>
  </si>
  <si>
    <t>0.375958</t>
  </si>
  <si>
    <t>0.21632</t>
  </si>
  <si>
    <t>0.891913</t>
  </si>
  <si>
    <t>0.416472</t>
  </si>
  <si>
    <t>24.9314</t>
  </si>
  <si>
    <t>1.46379</t>
  </si>
  <si>
    <t>0.69305</t>
  </si>
  <si>
    <t>2.06708</t>
  </si>
  <si>
    <t>0.190092</t>
  </si>
  <si>
    <t>0.666805</t>
  </si>
  <si>
    <t>0.323295</t>
  </si>
  <si>
    <t>0.343258</t>
  </si>
  <si>
    <t>0.0858146</t>
  </si>
  <si>
    <t>0.0299818</t>
  </si>
  <si>
    <t>0.025083</t>
  </si>
  <si>
    <t>0.0504583</t>
  </si>
  <si>
    <t>0.00966647</t>
  </si>
  <si>
    <t>0.0155887</t>
  </si>
  <si>
    <t>0.0186578</t>
  </si>
  <si>
    <t>1.07684</t>
  </si>
  <si>
    <t>2.33354e-07</t>
  </si>
  <si>
    <t>0.372485</t>
  </si>
  <si>
    <t>0.203826</t>
  </si>
  <si>
    <t>0.116751</t>
  </si>
  <si>
    <t>0.00420842</t>
  </si>
  <si>
    <t>0.119452</t>
  </si>
  <si>
    <t>5.63432e-05</t>
  </si>
  <si>
    <t>0.000122709</t>
  </si>
  <si>
    <t>0.0182832</t>
  </si>
  <si>
    <t>12.8749</t>
  </si>
  <si>
    <t>7.88827</t>
  </si>
  <si>
    <t>1.35944e-06</t>
  </si>
  <si>
    <t>1.28316</t>
  </si>
  <si>
    <t>0.016337</t>
  </si>
  <si>
    <t>1.81043e-06</t>
  </si>
  <si>
    <t>1.50977e-11</t>
  </si>
  <si>
    <t>0.0100953</t>
  </si>
  <si>
    <t>0.00537178</t>
  </si>
  <si>
    <t>2.76859e-9</t>
  </si>
  <si>
    <t>SS with nominal diet before offline optimization for MPC tests</t>
  </si>
  <si>
    <t>0.706574</t>
  </si>
  <si>
    <t>0.170552</t>
  </si>
  <si>
    <t>0.00482104</t>
  </si>
  <si>
    <t>0.0113863</t>
  </si>
  <si>
    <t>0.240558</t>
  </si>
  <si>
    <t>1.77084</t>
  </si>
  <si>
    <t>0.384142</t>
  </si>
  <si>
    <t>0.249665</t>
  </si>
  <si>
    <t>0.346494</t>
  </si>
  <si>
    <t>0.245104</t>
  </si>
  <si>
    <t>0.914162</t>
  </si>
  <si>
    <t>0.458658</t>
  </si>
  <si>
    <t>9.99996e-11</t>
  </si>
  <si>
    <t>25.4897</t>
  </si>
  <si>
    <t>0.704505</t>
  </si>
  <si>
    <t>3.67843</t>
  </si>
  <si>
    <t>0.687459</t>
  </si>
  <si>
    <t>0.715749</t>
  </si>
  <si>
    <t>0.352447</t>
  </si>
  <si>
    <t>0.0881116</t>
  </si>
  <si>
    <t>0.0109249</t>
  </si>
  <si>
    <t>0.0560122</t>
  </si>
  <si>
    <t>0.0065994</t>
  </si>
  <si>
    <t>0.0571026</t>
  </si>
  <si>
    <t>0.597495</t>
  </si>
  <si>
    <t>7.48637e-07</t>
  </si>
  <si>
    <t>0.172785</t>
  </si>
  <si>
    <t>0.079937</t>
  </si>
  <si>
    <t>0.00397762</t>
  </si>
  <si>
    <t>ssu</t>
  </si>
  <si>
    <t>saa</t>
  </si>
  <si>
    <t>sfa</t>
  </si>
  <si>
    <t>sva</t>
  </si>
  <si>
    <t>sbu</t>
  </si>
  <si>
    <t>spro</t>
  </si>
  <si>
    <t>sac</t>
  </si>
  <si>
    <t>sh2</t>
  </si>
  <si>
    <t>sch4</t>
  </si>
  <si>
    <t>sic</t>
  </si>
  <si>
    <t>sin</t>
  </si>
  <si>
    <t>sip</t>
  </si>
  <si>
    <t>sca</t>
  </si>
  <si>
    <t>smg</t>
  </si>
  <si>
    <t>san</t>
  </si>
  <si>
    <t>xash</t>
  </si>
  <si>
    <t>sgh2</t>
  </si>
  <si>
    <t>sgch4</t>
  </si>
  <si>
    <t>sgco2</t>
  </si>
  <si>
    <t>sgnh3</t>
  </si>
  <si>
    <t>sgn2</t>
  </si>
  <si>
    <t>pidi</t>
  </si>
  <si>
    <t>sgbch4</t>
  </si>
  <si>
    <t>sgbco2</t>
  </si>
  <si>
    <t>sgbnh3</t>
  </si>
  <si>
    <t>sgbh2</t>
  </si>
  <si>
    <t>sgbn2</t>
  </si>
  <si>
    <t>Gasbag</t>
  </si>
  <si>
    <t>scat</t>
  </si>
  <si>
    <t>1.26441</t>
  </si>
  <si>
    <t>0.0165152</t>
  </si>
  <si>
    <t>0.00000117794</t>
  </si>
  <si>
    <t>0.00000658491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</si>
</sst>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ourier New"/>
      <family val="3"/>
    </font>
    <font>
      <b/>
      <sz val="11"/>
      <color rgb="FFFF0000"/>
      <name val="Calibri"/>
      <family val="2"/>
      <scheme val="minor"/>
    </font>
    <font>
      <sz val="12"/>
      <color rgb="FF8B008B"/>
      <name val="Courier New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49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1" xfId="0" applyBorder="1"/>
    <xf numFmtId="0" fontId="3" fillId="0" borderId="1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49" fontId="0" fillId="0" borderId="1" xfId="0" applyNumberFormat="1" applyBorder="1"/>
    <xf numFmtId="0" fontId="0" fillId="0" borderId="0" xfId="0" applyBorder="1"/>
    <xf numFmtId="11" fontId="0" fillId="0" borderId="0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1A1D-F19A-4C89-B0E4-99AA6C648F9F}">
  <dimension ref="B2:J14"/>
  <sheetViews>
    <sheetView workbookViewId="0">
      <selection activeCell="B15" sqref="B15"/>
    </sheetView>
  </sheetViews>
  <sheetFormatPr defaultRowHeight="14.4" x14ac:dyDescent="0.3"/>
  <sheetData>
    <row r="2" spans="2:10" x14ac:dyDescent="0.3">
      <c r="B2" s="18" t="s">
        <v>64</v>
      </c>
      <c r="C2" s="18"/>
      <c r="D2" s="18"/>
      <c r="E2" s="18"/>
      <c r="F2" s="18"/>
      <c r="G2" s="18"/>
      <c r="H2" s="18"/>
      <c r="I2" s="18"/>
      <c r="J2" s="18"/>
    </row>
    <row r="3" spans="2:10" x14ac:dyDescent="0.3">
      <c r="B3" s="18"/>
      <c r="C3" s="18"/>
      <c r="D3" s="18"/>
      <c r="E3" s="18"/>
      <c r="F3" s="18"/>
      <c r="G3" s="18"/>
      <c r="H3" s="18"/>
      <c r="I3" s="18"/>
      <c r="J3" s="18"/>
    </row>
    <row r="4" spans="2:10" x14ac:dyDescent="0.3">
      <c r="B4" s="18"/>
      <c r="C4" s="18"/>
      <c r="D4" s="18"/>
      <c r="E4" s="18"/>
      <c r="F4" s="18"/>
      <c r="G4" s="18"/>
      <c r="H4" s="18"/>
      <c r="I4" s="18"/>
      <c r="J4" s="18"/>
    </row>
    <row r="5" spans="2:10" x14ac:dyDescent="0.3">
      <c r="B5" s="18"/>
      <c r="C5" s="18"/>
      <c r="D5" s="18"/>
      <c r="E5" s="18"/>
      <c r="F5" s="18"/>
      <c r="G5" s="18"/>
      <c r="H5" s="18"/>
      <c r="I5" s="18"/>
      <c r="J5" s="18"/>
    </row>
    <row r="6" spans="2:10" x14ac:dyDescent="0.3">
      <c r="B6" s="18"/>
      <c r="C6" s="18"/>
      <c r="D6" s="18"/>
      <c r="E6" s="18"/>
      <c r="F6" s="18"/>
      <c r="G6" s="18"/>
      <c r="H6" s="18"/>
      <c r="I6" s="18"/>
      <c r="J6" s="18"/>
    </row>
    <row r="7" spans="2:10" x14ac:dyDescent="0.3">
      <c r="B7" s="18"/>
      <c r="C7" s="18"/>
      <c r="D7" s="18"/>
      <c r="E7" s="18"/>
      <c r="F7" s="18"/>
      <c r="G7" s="18"/>
      <c r="H7" s="18"/>
      <c r="I7" s="18"/>
      <c r="J7" s="18"/>
    </row>
    <row r="8" spans="2:10" x14ac:dyDescent="0.3">
      <c r="B8" s="18"/>
      <c r="C8" s="18"/>
      <c r="D8" s="18"/>
      <c r="E8" s="18"/>
      <c r="F8" s="18"/>
      <c r="G8" s="18"/>
      <c r="H8" s="18"/>
      <c r="I8" s="18"/>
      <c r="J8" s="18"/>
    </row>
    <row r="9" spans="2:10" x14ac:dyDescent="0.3">
      <c r="B9" s="18"/>
      <c r="C9" s="18"/>
      <c r="D9" s="18"/>
      <c r="E9" s="18"/>
      <c r="F9" s="18"/>
      <c r="G9" s="18"/>
      <c r="H9" s="18"/>
      <c r="I9" s="18"/>
      <c r="J9" s="18"/>
    </row>
    <row r="10" spans="2:10" x14ac:dyDescent="0.3">
      <c r="B10" s="18"/>
      <c r="C10" s="18"/>
      <c r="D10" s="18"/>
      <c r="E10" s="18"/>
      <c r="F10" s="18"/>
      <c r="G10" s="18"/>
      <c r="H10" s="18"/>
      <c r="I10" s="18"/>
      <c r="J10" s="18"/>
    </row>
    <row r="11" spans="2:10" x14ac:dyDescent="0.3">
      <c r="B11" s="18"/>
      <c r="C11" s="18"/>
      <c r="D11" s="18"/>
      <c r="E11" s="18"/>
      <c r="F11" s="18"/>
      <c r="G11" s="18"/>
      <c r="H11" s="18"/>
      <c r="I11" s="18"/>
      <c r="J11" s="18"/>
    </row>
    <row r="12" spans="2:10" x14ac:dyDescent="0.3">
      <c r="B12" s="18"/>
      <c r="C12" s="18"/>
      <c r="D12" s="18"/>
      <c r="E12" s="18"/>
      <c r="F12" s="18"/>
      <c r="G12" s="18"/>
      <c r="H12" s="18"/>
      <c r="I12" s="18"/>
      <c r="J12" s="18"/>
    </row>
    <row r="13" spans="2:10" x14ac:dyDescent="0.3">
      <c r="B13" s="18"/>
      <c r="C13" s="18"/>
      <c r="D13" s="18"/>
      <c r="E13" s="18"/>
      <c r="F13" s="18"/>
      <c r="G13" s="18"/>
      <c r="H13" s="18"/>
      <c r="I13" s="18"/>
      <c r="J13" s="18"/>
    </row>
    <row r="14" spans="2:10" x14ac:dyDescent="0.3">
      <c r="B14" t="s">
        <v>65</v>
      </c>
    </row>
  </sheetData>
  <mergeCells count="1">
    <mergeCell ref="B2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9463-96D3-4A81-8732-FD39D10261F4}">
  <dimension ref="A1:T53"/>
  <sheetViews>
    <sheetView topLeftCell="A21" zoomScale="80" zoomScaleNormal="80" workbookViewId="0">
      <selection activeCell="A48" sqref="A48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 t="s">
        <v>236</v>
      </c>
      <c r="B3" s="2" t="str">
        <f>A3</f>
        <v>3.04568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3.04568;</v>
      </c>
      <c r="J3" s="5" t="str">
        <f t="shared" ref="J3:J34" si="0">_xlfn.CONCAT(D3," ",E3," ",F3," ",G3," ",H3,)</f>
        <v>parameter SI.MassConcentration X_su_start = 3.04568;</v>
      </c>
      <c r="L3" t="str">
        <f t="shared" ref="L3:L9" si="1">SUBSTITUTE(_xlfn.CONCAT(F3," ",G3," ",H3),";",",")</f>
        <v>X_su_start = 3.04568,</v>
      </c>
      <c r="P3" s="4" t="str">
        <f>L3</f>
        <v>X_su_start = 3.04568,</v>
      </c>
      <c r="R3" s="12" t="str">
        <f>_xlfn.CONCAT("digester.",P3)</f>
        <v>digester.X_su_start = 3.04568,</v>
      </c>
      <c r="T3" t="str">
        <f>_xlfn.CONCAT("uit.",R3)</f>
        <v>uit.digester.X_su_start = 3.04568,</v>
      </c>
    </row>
    <row r="4" spans="1:20" x14ac:dyDescent="0.3">
      <c r="A4" s="8" t="s">
        <v>237</v>
      </c>
      <c r="B4" s="2" t="str">
        <f t="shared" ref="B4:B9" si="2">A4</f>
        <v>0.67667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0.67667;</v>
      </c>
      <c r="J4" s="5" t="str">
        <f t="shared" si="0"/>
        <v>parameter SI.MassConcentration X_aa_start = 0.67667;</v>
      </c>
      <c r="L4" t="str">
        <f t="shared" si="1"/>
        <v>X_aa_start = 0.67667,</v>
      </c>
      <c r="P4" s="5" t="str">
        <f t="shared" ref="P4:P9" si="4">L4</f>
        <v>X_aa_start = 0.67667,</v>
      </c>
      <c r="R4" s="13" t="str">
        <f t="shared" ref="R4:R42" si="5">_xlfn.CONCAT("digester.",P4)</f>
        <v>digester.X_aa_start = 0.67667,</v>
      </c>
      <c r="T4" t="str">
        <f t="shared" ref="T4:T44" si="6">_xlfn.CONCAT("uit.",R4)</f>
        <v>uit.digester.X_aa_start = 0.67667,</v>
      </c>
    </row>
    <row r="5" spans="1:20" x14ac:dyDescent="0.3">
      <c r="A5" s="8" t="s">
        <v>238</v>
      </c>
      <c r="B5" s="2" t="str">
        <f t="shared" si="2"/>
        <v>0.340835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0.340835;</v>
      </c>
      <c r="J5" s="5" t="str">
        <f t="shared" si="0"/>
        <v>parameter SI.MassConcentration X_fa_start = 0.340835;</v>
      </c>
      <c r="L5" t="str">
        <f t="shared" si="1"/>
        <v>X_fa_start = 0.340835,</v>
      </c>
      <c r="P5" s="5" t="str">
        <f t="shared" si="4"/>
        <v>X_fa_start = 0.340835,</v>
      </c>
      <c r="R5" s="13" t="str">
        <f t="shared" si="5"/>
        <v>digester.X_fa_start = 0.340835,</v>
      </c>
      <c r="T5" t="str">
        <f t="shared" si="6"/>
        <v>uit.digester.X_fa_start = 0.340835,</v>
      </c>
    </row>
    <row r="6" spans="1:20" x14ac:dyDescent="0.3">
      <c r="A6" s="8" t="s">
        <v>239</v>
      </c>
      <c r="B6" s="2" t="str">
        <f t="shared" si="2"/>
        <v>0.557859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0.557859;</v>
      </c>
      <c r="J6" s="5" t="str">
        <f t="shared" si="0"/>
        <v>parameter SI.MassConcentration X_c4_start = 0.557859;</v>
      </c>
      <c r="L6" t="str">
        <f t="shared" si="1"/>
        <v>X_c4_start = 0.557859,</v>
      </c>
      <c r="P6" s="5" t="str">
        <f t="shared" si="4"/>
        <v>X_c4_start = 0.557859,</v>
      </c>
      <c r="R6" s="13" t="str">
        <f t="shared" si="5"/>
        <v>digester.X_c4_start = 0.557859,</v>
      </c>
      <c r="T6" t="str">
        <f t="shared" si="6"/>
        <v>uit.digester.X_c4_start = 0.557859,</v>
      </c>
    </row>
    <row r="7" spans="1:20" x14ac:dyDescent="0.3">
      <c r="A7" s="8" t="s">
        <v>240</v>
      </c>
      <c r="B7" s="2" t="str">
        <f t="shared" si="2"/>
        <v>0.36489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0.36489;</v>
      </c>
      <c r="J7" s="5" t="str">
        <f t="shared" si="0"/>
        <v>parameter SI.MassConcentration X_pro_start = 0.36489;</v>
      </c>
      <c r="L7" t="str">
        <f t="shared" si="1"/>
        <v>X_pro_start = 0.36489,</v>
      </c>
      <c r="P7" s="5" t="str">
        <f t="shared" si="4"/>
        <v>X_pro_start = 0.36489,</v>
      </c>
      <c r="R7" s="13" t="str">
        <f t="shared" si="5"/>
        <v>digester.X_pro_start = 0.36489,</v>
      </c>
      <c r="T7" t="str">
        <f t="shared" si="6"/>
        <v>uit.digester.X_pro_start = 0.36489,</v>
      </c>
    </row>
    <row r="8" spans="1:20" x14ac:dyDescent="0.3">
      <c r="A8" s="8" t="s">
        <v>241</v>
      </c>
      <c r="B8" s="2" t="str">
        <f t="shared" si="2"/>
        <v>1.54389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1.54389;</v>
      </c>
      <c r="J8" s="5" t="str">
        <f t="shared" si="0"/>
        <v>parameter SI.MassConcentration X_ac_start = 1.54389;</v>
      </c>
      <c r="L8" t="str">
        <f t="shared" si="1"/>
        <v>X_ac_start = 1.54389,</v>
      </c>
      <c r="P8" s="5" t="str">
        <f t="shared" si="4"/>
        <v>X_ac_start = 1.54389,</v>
      </c>
      <c r="R8" s="13" t="str">
        <f t="shared" si="5"/>
        <v>digester.X_ac_start = 1.54389,</v>
      </c>
      <c r="T8" t="str">
        <f t="shared" si="6"/>
        <v>uit.digester.X_ac_start = 1.54389,</v>
      </c>
    </row>
    <row r="9" spans="1:20" x14ac:dyDescent="0.3">
      <c r="A9" s="8" t="s">
        <v>242</v>
      </c>
      <c r="B9" s="2" t="str">
        <f t="shared" si="2"/>
        <v>0.727093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0.727093;</v>
      </c>
      <c r="J9" s="5" t="str">
        <f t="shared" si="0"/>
        <v>parameter SI.MassConcentration X_h2_start = 0.727093;</v>
      </c>
      <c r="L9" t="str">
        <f t="shared" si="1"/>
        <v>X_h2_start = 0.727093,</v>
      </c>
      <c r="P9" s="5" t="str">
        <f t="shared" si="4"/>
        <v>X_h2_start = 0.727093,</v>
      </c>
      <c r="R9" s="13" t="str">
        <f t="shared" si="5"/>
        <v>digester.X_h2_start = 0.727093,</v>
      </c>
      <c r="T9" t="str">
        <f t="shared" si="6"/>
        <v>uit.digester.X_h2_start = 0.727093,</v>
      </c>
    </row>
    <row r="10" spans="1:20" x14ac:dyDescent="0.3">
      <c r="A10" s="8" t="s">
        <v>243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-2.62044e-29,</v>
      </c>
      <c r="R10" s="13" t="str">
        <f t="shared" si="5"/>
        <v>digester.X_c_start = -2.62044e-29,</v>
      </c>
      <c r="T10" t="str">
        <f t="shared" si="6"/>
        <v>uit.digester.X_c_start = -2.62044e-29,</v>
      </c>
    </row>
    <row r="11" spans="1:20" x14ac:dyDescent="0.3">
      <c r="A11" s="8" t="s">
        <v>244</v>
      </c>
      <c r="B11" s="2" t="str">
        <f>A10</f>
        <v>-2.62044e-29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-2.62044e-29;</v>
      </c>
      <c r="J11" s="5" t="str">
        <f t="shared" si="0"/>
        <v>parameter SI.MassConcentration X_c_start = -2.62044e-29;</v>
      </c>
      <c r="L11" t="str">
        <f>SUBSTITUTE(_xlfn.CONCAT(F11," ",G11," ",H11),";",",")</f>
        <v>X_c_start = -2.62044e-29,</v>
      </c>
      <c r="P11" s="5" t="str">
        <f t="shared" si="7"/>
        <v>X_i_start = 37.9831,</v>
      </c>
      <c r="R11" s="13" t="str">
        <f t="shared" si="5"/>
        <v>digester.X_i_start = 37.9831,</v>
      </c>
      <c r="T11" t="str">
        <f t="shared" si="6"/>
        <v>uit.digester.X_i_start = 37.9831,</v>
      </c>
    </row>
    <row r="12" spans="1:20" x14ac:dyDescent="0.3">
      <c r="A12" s="8" t="s">
        <v>245</v>
      </c>
      <c r="B12" s="2" t="str">
        <f t="shared" ref="B12:B27" si="8">A11</f>
        <v>37.9831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37.9831;</v>
      </c>
      <c r="J12" s="5" t="str">
        <f t="shared" si="0"/>
        <v>parameter SI.MassConcentration X_i_start = 37.9831;</v>
      </c>
      <c r="L12" t="str">
        <f>SUBSTITUTE(_xlfn.CONCAT(F12," ",G12," ",H12),";",",")</f>
        <v>X_i_start = 37.9831,</v>
      </c>
      <c r="P12" s="5" t="str">
        <f t="shared" si="7"/>
        <v>X_ch_start = {1.16131,0.953084,14.2649},</v>
      </c>
      <c r="R12" s="13" t="str">
        <f t="shared" si="5"/>
        <v>digester.X_ch_start = {1.16131,0.953084,14.2649},</v>
      </c>
      <c r="T12" t="str">
        <f t="shared" si="6"/>
        <v>uit.digester.X_ch_start = {1.16131,0.953084,14.2649},</v>
      </c>
    </row>
    <row r="13" spans="1:20" x14ac:dyDescent="0.3">
      <c r="A13" s="8" t="s">
        <v>246</v>
      </c>
      <c r="B13" s="2" t="str">
        <f t="shared" si="8"/>
        <v>1.16131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{1.16131,0.953084,14.2649};</v>
      </c>
      <c r="J13" s="5" t="str">
        <f t="shared" si="0"/>
        <v>parameter SI.MassConcentration X_ch_start[3] = {1.16131,0.953084,14.2649};</v>
      </c>
      <c r="L13" t="str">
        <f>SUBSTITUTE(SUBSTITUTE(_xlfn.CONCAT(F13," ",G13," ",H13),";",","),"[3]","")</f>
        <v>X_ch_start = {1.16131,0.953084,14.2649},</v>
      </c>
      <c r="P13" s="5" t="str">
        <f t="shared" si="7"/>
        <v>X_pr_start = {0.212074,1.19609},</v>
      </c>
      <c r="R13" s="13" t="str">
        <f t="shared" si="5"/>
        <v>digester.X_pr_start = {0.212074,1.19609},</v>
      </c>
      <c r="T13" t="str">
        <f t="shared" si="6"/>
        <v>uit.digester.X_pr_start = {0.212074,1.19609},</v>
      </c>
    </row>
    <row r="14" spans="1:20" x14ac:dyDescent="0.3">
      <c r="A14" s="8" t="s">
        <v>247</v>
      </c>
      <c r="B14" s="2" t="str">
        <f t="shared" si="8"/>
        <v>0.953084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{0.212074,1.19609};</v>
      </c>
      <c r="J14" s="5" t="str">
        <f t="shared" si="0"/>
        <v>parameter SI.MassConcentration X_pr_start[2] = {0.212074,1.19609};</v>
      </c>
      <c r="L14" t="str">
        <f>SUBSTITUTE(SUBSTITUTE(_xlfn.CONCAT(F14," ",G14," ",H14),";",","),"[2]","")</f>
        <v>X_pr_start = {0.212074,1.19609},</v>
      </c>
      <c r="P14" s="5" t="str">
        <f t="shared" si="7"/>
        <v>X_li_start = 1.01529,</v>
      </c>
      <c r="R14" s="13" t="str">
        <f t="shared" si="5"/>
        <v>digester.X_li_start = 1.01529,</v>
      </c>
      <c r="T14" t="str">
        <f t="shared" si="6"/>
        <v>uit.digester.X_li_start = 1.01529,</v>
      </c>
    </row>
    <row r="15" spans="1:20" x14ac:dyDescent="0.3">
      <c r="A15" s="8" t="s">
        <v>248</v>
      </c>
      <c r="B15" s="2" t="str">
        <f t="shared" si="8"/>
        <v>14.2649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1.01529;</v>
      </c>
      <c r="J15" s="5" t="str">
        <f t="shared" si="0"/>
        <v>parameter SI.MassConcentration X_li_start = 1.01529;</v>
      </c>
      <c r="L15" t="str">
        <f>SUBSTITUTE(_xlfn.CONCAT(F15," ",G15," ",H15),";",",")</f>
        <v>X_li_start = 1.01529,</v>
      </c>
      <c r="P15" s="5" t="str">
        <f t="shared" si="7"/>
        <v>X_p_start = 0.591706,</v>
      </c>
      <c r="R15" s="13" t="str">
        <f t="shared" si="5"/>
        <v>digester.X_p_start = 0.591706,</v>
      </c>
      <c r="T15" t="str">
        <f t="shared" si="6"/>
        <v>uit.digester.X_p_start = 0.591706,</v>
      </c>
    </row>
    <row r="16" spans="1:20" x14ac:dyDescent="0.3">
      <c r="A16" s="8" t="s">
        <v>249</v>
      </c>
      <c r="B16" s="2" t="str">
        <f t="shared" si="8"/>
        <v>0.212074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0.591706;</v>
      </c>
      <c r="J16" s="5" t="str">
        <f t="shared" si="0"/>
        <v>parameter SI.MassConcentration X_p_start = 0.591706;</v>
      </c>
      <c r="L16" t="str">
        <f>SUBSTITUTE(_xlfn.CONCAT(F16," ",G16," ",H16),";",",")</f>
        <v>X_p_start = 0.591706,</v>
      </c>
      <c r="P16" s="5" t="str">
        <f t="shared" ref="P16:P23" si="9">L20</f>
        <v>S_i_start = 0.147927,</v>
      </c>
      <c r="R16" s="13" t="str">
        <f t="shared" si="5"/>
        <v>digester.S_i_start = 0.147927,</v>
      </c>
      <c r="T16" t="str">
        <f t="shared" si="6"/>
        <v>uit.digester.S_i_start = 0.147927,</v>
      </c>
    </row>
    <row r="17" spans="1:20" x14ac:dyDescent="0.3">
      <c r="A17" s="8" t="s">
        <v>250</v>
      </c>
      <c r="B17" s="2" t="str">
        <f t="shared" si="8"/>
        <v>1.19609</v>
      </c>
      <c r="D17" t="s">
        <v>19</v>
      </c>
      <c r="J17" s="5" t="str">
        <f t="shared" si="0"/>
        <v xml:space="preserve">//    </v>
      </c>
      <c r="P17" s="5" t="str">
        <f t="shared" si="9"/>
        <v>S_su_start = 0.0298357,</v>
      </c>
      <c r="R17" s="13" t="str">
        <f t="shared" si="5"/>
        <v>digester.S_su_start = 0.0298357,</v>
      </c>
      <c r="T17" t="str">
        <f t="shared" si="6"/>
        <v>uit.digester.S_su_start = 0.0298357,</v>
      </c>
    </row>
    <row r="18" spans="1:20" x14ac:dyDescent="0.3">
      <c r="A18" s="8" t="s">
        <v>251</v>
      </c>
      <c r="B18" s="2" t="str">
        <f t="shared" si="8"/>
        <v>1.01529</v>
      </c>
      <c r="D18" t="s">
        <v>19</v>
      </c>
      <c r="J18" s="5" t="str">
        <f t="shared" si="0"/>
        <v xml:space="preserve">//    </v>
      </c>
      <c r="P18" s="5" t="str">
        <f t="shared" si="9"/>
        <v>S_aa_start = 0.0316043,</v>
      </c>
      <c r="R18" s="13" t="str">
        <f t="shared" si="5"/>
        <v>digester.S_aa_start = 0.0316043,</v>
      </c>
      <c r="T18" t="str">
        <f t="shared" si="6"/>
        <v>uit.digester.S_aa_start = 0.0316043,</v>
      </c>
    </row>
    <row r="19" spans="1:20" x14ac:dyDescent="0.3">
      <c r="A19" s="8" t="s">
        <v>252</v>
      </c>
      <c r="B19" s="2" t="str">
        <f t="shared" si="8"/>
        <v>0.591706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0.0565353,</v>
      </c>
      <c r="R19" s="13" t="str">
        <f t="shared" si="5"/>
        <v>digester.S_fa_start = 0.0565353,</v>
      </c>
      <c r="T19" t="str">
        <f t="shared" si="6"/>
        <v>uit.digester.S_fa_start = 0.0565353,</v>
      </c>
    </row>
    <row r="20" spans="1:20" x14ac:dyDescent="0.3">
      <c r="A20" s="8" t="s">
        <v>253</v>
      </c>
      <c r="B20" s="2" t="str">
        <f t="shared" si="8"/>
        <v>0.147927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0.147927;</v>
      </c>
      <c r="J20" s="5" t="str">
        <f t="shared" si="0"/>
        <v>parameter SI.MassConcentration S_i_start = 0.147927;</v>
      </c>
      <c r="L20" t="str">
        <f t="shared" ref="L20:L27" si="10">SUBSTITUTE(_xlfn.CONCAT(F20," ",G20," ",H20),";",",")</f>
        <v>S_i_start = 0.147927,</v>
      </c>
      <c r="P20" s="5" t="str">
        <f t="shared" si="9"/>
        <v>S_va_start = 0.00462287,</v>
      </c>
      <c r="R20" s="13" t="str">
        <f t="shared" si="5"/>
        <v>digester.S_va_start = 0.00462287,</v>
      </c>
      <c r="T20" t="str">
        <f t="shared" si="6"/>
        <v>uit.digester.S_va_start = 0.00462287,</v>
      </c>
    </row>
    <row r="21" spans="1:20" x14ac:dyDescent="0.3">
      <c r="A21" s="8" t="s">
        <v>254</v>
      </c>
      <c r="B21" s="2" t="str">
        <f t="shared" si="8"/>
        <v>0.0298357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0.0298357;</v>
      </c>
      <c r="J21" s="5" t="str">
        <f t="shared" si="0"/>
        <v>parameter SI.MassConcentration S_su_start = 0.0298357;</v>
      </c>
      <c r="L21" t="str">
        <f t="shared" si="10"/>
        <v>S_su_start = 0.0298357,</v>
      </c>
      <c r="P21" s="5" t="str">
        <f t="shared" si="9"/>
        <v>S_bu_start = 0.00837907,</v>
      </c>
      <c r="R21" s="13" t="str">
        <f t="shared" si="5"/>
        <v>digester.S_bu_start = 0.00837907,</v>
      </c>
      <c r="T21" t="str">
        <f t="shared" si="6"/>
        <v>uit.digester.S_bu_start = 0.00837907,</v>
      </c>
    </row>
    <row r="22" spans="1:20" x14ac:dyDescent="0.3">
      <c r="A22" s="8" t="s">
        <v>255</v>
      </c>
      <c r="B22" s="2" t="str">
        <f t="shared" si="8"/>
        <v>0.0316043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0.0316043;</v>
      </c>
      <c r="J22" s="5" t="str">
        <f t="shared" si="0"/>
        <v>parameter SI.MassConcentration S_aa_start = 0.0316043;</v>
      </c>
      <c r="L22" t="str">
        <f t="shared" si="10"/>
        <v>S_aa_start = 0.0316043,</v>
      </c>
      <c r="P22" s="5" t="str">
        <f t="shared" si="9"/>
        <v>S_pro_start = 0.0653039,</v>
      </c>
      <c r="R22" s="13" t="str">
        <f t="shared" si="5"/>
        <v>digester.S_pro_start = 0.0653039,</v>
      </c>
      <c r="T22" t="str">
        <f t="shared" si="6"/>
        <v>uit.digester.S_pro_start = 0.0653039,</v>
      </c>
    </row>
    <row r="23" spans="1:20" x14ac:dyDescent="0.3">
      <c r="A23" s="8" t="s">
        <v>256</v>
      </c>
      <c r="B23" s="2" t="str">
        <f t="shared" si="8"/>
        <v>0.0565353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0.0565353;</v>
      </c>
      <c r="J23" s="5" t="str">
        <f t="shared" si="0"/>
        <v>parameter SI.MassConcentration S_fa_start = 0.0565353;</v>
      </c>
      <c r="L23" t="str">
        <f t="shared" si="10"/>
        <v>S_fa_start = 0.0565353,</v>
      </c>
      <c r="P23" s="5" t="str">
        <f t="shared" si="9"/>
        <v>S_ac_start = 0.556736,</v>
      </c>
      <c r="R23" s="13" t="str">
        <f t="shared" si="5"/>
        <v>digester.S_ac_start = 0.556736,</v>
      </c>
      <c r="T23" t="str">
        <f t="shared" si="6"/>
        <v>uit.digester.S_ac_start = 0.556736,</v>
      </c>
    </row>
    <row r="24" spans="1:20" x14ac:dyDescent="0.3">
      <c r="A24" s="8" t="s">
        <v>257</v>
      </c>
      <c r="B24" s="2" t="str">
        <f t="shared" si="8"/>
        <v>0.00462287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0.00462287;</v>
      </c>
      <c r="J24" s="5" t="str">
        <f t="shared" si="0"/>
        <v>parameter SI.MassConcentration S_va_start = 0.00462287;</v>
      </c>
      <c r="L24" t="str">
        <f t="shared" si="10"/>
        <v>S_va_start = 0.00462287,</v>
      </c>
      <c r="P24" s="5" t="str">
        <f>L29</f>
        <v>S_h2_start = 8.29418e-07,</v>
      </c>
      <c r="R24" s="13" t="str">
        <f t="shared" si="5"/>
        <v>digester.S_h2_start = 8.29418e-07,</v>
      </c>
      <c r="T24" t="str">
        <f t="shared" si="6"/>
        <v>uit.digester.S_h2_start = 8.29418e-07,</v>
      </c>
    </row>
    <row r="25" spans="1:20" x14ac:dyDescent="0.3">
      <c r="A25" s="8" t="s">
        <v>258</v>
      </c>
      <c r="B25" s="2" t="str">
        <f t="shared" si="8"/>
        <v>0.00837907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0.00837907;</v>
      </c>
      <c r="J25" s="5" t="str">
        <f t="shared" si="0"/>
        <v>parameter SI.MassConcentration S_bu_start = 0.00837907;</v>
      </c>
      <c r="L25" t="str">
        <f t="shared" si="10"/>
        <v>S_bu_start = 0.00837907,</v>
      </c>
      <c r="P25" s="5" t="str">
        <f>L30</f>
        <v>S_ch4_start = 0.0570561,</v>
      </c>
      <c r="R25" s="13" t="str">
        <f t="shared" si="5"/>
        <v>digester.S_ch4_start = 0.0570561,</v>
      </c>
      <c r="T25" t="str">
        <f t="shared" si="6"/>
        <v>uit.digester.S_ch4_start = 0.0570561,</v>
      </c>
    </row>
    <row r="26" spans="1:20" x14ac:dyDescent="0.3">
      <c r="A26" s="8" t="s">
        <v>259</v>
      </c>
      <c r="B26" s="2" t="str">
        <f t="shared" si="8"/>
        <v>0.0653039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0.0653039;</v>
      </c>
      <c r="J26" s="5" t="str">
        <f t="shared" si="0"/>
        <v>parameter SI.MassConcentration S_pro_start = 0.0653039;</v>
      </c>
      <c r="L26" t="str">
        <f t="shared" si="10"/>
        <v>S_pro_start = 0.0653039,</v>
      </c>
      <c r="P26" s="5" t="str">
        <f t="shared" ref="P26:P34" si="12">L32</f>
        <v>S_ic_start = 0.228559,</v>
      </c>
      <c r="R26" s="13" t="str">
        <f t="shared" si="5"/>
        <v>digester.S_ic_start = 0.228559,</v>
      </c>
      <c r="T26" t="str">
        <f t="shared" si="6"/>
        <v>uit.digester.S_ic_start = 0.228559,</v>
      </c>
    </row>
    <row r="27" spans="1:20" x14ac:dyDescent="0.3">
      <c r="A27" s="8" t="s">
        <v>260</v>
      </c>
      <c r="B27" s="2" t="str">
        <f t="shared" si="8"/>
        <v>0.556736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0.556736;</v>
      </c>
      <c r="J27" s="5" t="str">
        <f t="shared" si="0"/>
        <v>parameter SI.MassConcentration S_ac_start = 0.556736;</v>
      </c>
      <c r="L27" t="str">
        <f t="shared" si="10"/>
        <v>S_ac_start = 0.556736,</v>
      </c>
      <c r="P27" s="5" t="str">
        <f t="shared" si="12"/>
        <v>S_in_start = 0.144682,</v>
      </c>
      <c r="R27" s="13" t="str">
        <f t="shared" si="5"/>
        <v>digester.S_in_start = 0.144682,</v>
      </c>
      <c r="T27" t="str">
        <f t="shared" si="6"/>
        <v>uit.digester.S_in_start = 0.144682,</v>
      </c>
    </row>
    <row r="28" spans="1:20" x14ac:dyDescent="0.3">
      <c r="A28" s="8" t="s">
        <v>261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0.00478087,</v>
      </c>
      <c r="R28" s="13" t="str">
        <f t="shared" si="5"/>
        <v>digester.S_ip_start = 0.00478087,</v>
      </c>
      <c r="T28" t="str">
        <f t="shared" si="6"/>
        <v>uit.digester.S_ip_start = 0.00478087,</v>
      </c>
    </row>
    <row r="29" spans="1:20" x14ac:dyDescent="0.3">
      <c r="A29" s="8" t="s">
        <v>262</v>
      </c>
      <c r="B29" s="2" t="str">
        <f>A27</f>
        <v>8.29418e-07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8.29418e-07;</v>
      </c>
      <c r="J29" s="5" t="str">
        <f t="shared" si="0"/>
        <v>parameter SI.MassConcentration S_h2_start = 8.29418e-07;</v>
      </c>
      <c r="L29" t="str">
        <f>SUBSTITUTE(_xlfn.CONCAT(F29," ",G29," ",H29),";",",")</f>
        <v>S_h2_start = 8.29418e-07,</v>
      </c>
      <c r="P29" s="5" t="str">
        <f t="shared" si="12"/>
        <v>S_cat_start = 0.112651,</v>
      </c>
      <c r="R29" s="13" t="str">
        <f t="shared" si="5"/>
        <v>digester.S_cat_start = 0.112651,</v>
      </c>
      <c r="T29" t="str">
        <f t="shared" si="6"/>
        <v>uit.digester.S_cat_start = 0.112651,</v>
      </c>
    </row>
    <row r="30" spans="1:20" x14ac:dyDescent="0.3">
      <c r="A30" s="8" t="s">
        <v>263</v>
      </c>
      <c r="B30" s="2" t="str">
        <f>A28</f>
        <v>0.0570561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0.0570561;</v>
      </c>
      <c r="J30" s="5" t="str">
        <f t="shared" si="0"/>
        <v>parameter SI.MassConcentration S_ch4_start = 0.0570561;</v>
      </c>
      <c r="L30" t="str">
        <f>SUBSTITUTE(_xlfn.CONCAT(F30," ",G30," ",H30),";",",")</f>
        <v>S_ch4_start = 0.0570561,</v>
      </c>
      <c r="P30" s="5" t="str">
        <f t="shared" si="12"/>
        <v>S_ca_start = 3.29384e-05,</v>
      </c>
      <c r="R30" s="13" t="str">
        <f t="shared" si="5"/>
        <v>digester.S_ca_start = 3.29384e-05,</v>
      </c>
      <c r="T30" t="str">
        <f t="shared" si="6"/>
        <v>uit.digester.S_ca_start = 3.29384e-05,</v>
      </c>
    </row>
    <row r="31" spans="1:20" x14ac:dyDescent="0.3">
      <c r="A31" s="8" t="s">
        <v>264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5.55652e-05,</v>
      </c>
      <c r="R31" s="13" t="str">
        <f t="shared" si="5"/>
        <v>digester.S_mg_start = 5.55652e-05,</v>
      </c>
      <c r="T31" t="str">
        <f t="shared" si="6"/>
        <v>uit.digester.S_mg_start = 5.55652e-05,</v>
      </c>
    </row>
    <row r="32" spans="1:20" x14ac:dyDescent="0.3">
      <c r="A32" s="8" t="s">
        <v>265</v>
      </c>
      <c r="B32" s="2" t="str">
        <f>A29</f>
        <v>0.228559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0.228559;</v>
      </c>
      <c r="J32" s="5" t="str">
        <f t="shared" si="0"/>
        <v>parameter Types.MolarDensity_M S_ic_start = 0.228559;</v>
      </c>
      <c r="L32" t="str">
        <f t="shared" ref="L32:L40" si="13">SUBSTITUTE(_xlfn.CONCAT(F32," ",G32," ",H32),";",",")</f>
        <v>S_ic_start = 0.228559,</v>
      </c>
      <c r="P32" s="5" t="str">
        <f t="shared" si="12"/>
        <v>S_an_start = 0.0144605,</v>
      </c>
      <c r="R32" s="13" t="str">
        <f t="shared" si="5"/>
        <v>digester.S_an_start = 0.0144605,</v>
      </c>
      <c r="T32" t="str">
        <f>_xlfn.CONCAT("uit.",R32)</f>
        <v>uit.digester.S_an_start = 0.0144605,</v>
      </c>
    </row>
    <row r="33" spans="1:20" x14ac:dyDescent="0.3">
      <c r="A33" s="8" t="s">
        <v>266</v>
      </c>
      <c r="B33" s="2" t="str">
        <f t="shared" ref="B33:B40" si="14">A30</f>
        <v>0.144682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0.144682;</v>
      </c>
      <c r="J33" s="5" t="str">
        <f t="shared" si="0"/>
        <v>parameter Types.MolarDensity_M S_in_start = 0.144682;</v>
      </c>
      <c r="L33" t="str">
        <f t="shared" si="13"/>
        <v>S_in_start = 0.144682,</v>
      </c>
      <c r="P33" s="5" t="str">
        <f t="shared" si="12"/>
        <v>ash_start = 19.6505,</v>
      </c>
      <c r="R33" s="13" t="str">
        <f t="shared" si="5"/>
        <v>digester.ash_start = 19.6505,</v>
      </c>
      <c r="T33" t="str">
        <f t="shared" si="6"/>
        <v>uit.digester.ash_start = 19.6505,</v>
      </c>
    </row>
    <row r="34" spans="1:20" x14ac:dyDescent="0.3">
      <c r="A34" s="8" t="s">
        <v>267</v>
      </c>
      <c r="B34" s="2" t="str">
        <f t="shared" si="14"/>
        <v>0.00478087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0.00478087;</v>
      </c>
      <c r="J34" s="5" t="str">
        <f t="shared" si="0"/>
        <v>parameter Types.MolarDensity_M S_ip_start = 0.00478087;</v>
      </c>
      <c r="L34" t="str">
        <f t="shared" si="13"/>
        <v>S_ip_start = 0.00478087,</v>
      </c>
      <c r="P34" s="5" t="str">
        <f t="shared" si="12"/>
        <v>X_lig_start = 14.4374,</v>
      </c>
      <c r="R34" s="13" t="str">
        <f t="shared" si="5"/>
        <v>digester.X_lig_start = 14.4374,</v>
      </c>
      <c r="T34" t="str">
        <f t="shared" si="6"/>
        <v>uit.digester.X_lig_start = 14.4374,</v>
      </c>
    </row>
    <row r="35" spans="1:20" x14ac:dyDescent="0.3">
      <c r="A35" s="8" t="s">
        <v>268</v>
      </c>
      <c r="B35" s="2" t="str">
        <f t="shared" si="14"/>
        <v>0.112651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0.112651;</v>
      </c>
      <c r="J35" s="5" t="str">
        <f t="shared" ref="J35:J51" si="15">_xlfn.CONCAT(D35," ",E35," ",F35," ",G35," ",H35,)</f>
        <v>parameter Types.MolarDensity_M S_cat_start = 0.112651;</v>
      </c>
      <c r="L35" t="str">
        <f t="shared" si="13"/>
        <v>S_cat_start = 0.112651,</v>
      </c>
      <c r="P35" s="5" t="str">
        <f>L43</f>
        <v>S_gas_h2_start = 2.85573e-05,</v>
      </c>
      <c r="R35" s="13" t="str">
        <f t="shared" si="5"/>
        <v>digester.S_gas_h2_start = 2.85573e-05,</v>
      </c>
      <c r="T35" t="str">
        <f t="shared" si="6"/>
        <v>uit.digester.S_gas_h2_start = 2.85573e-05,</v>
      </c>
    </row>
    <row r="36" spans="1:20" x14ac:dyDescent="0.3">
      <c r="A36" s="8" t="s">
        <v>269</v>
      </c>
      <c r="B36" s="2" t="str">
        <f t="shared" si="14"/>
        <v>3.29384e-05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3.29384e-05;</v>
      </c>
      <c r="J36" s="5" t="str">
        <f t="shared" si="15"/>
        <v>parameter Types.MolarDensity_M S_ca_start = 3.29384e-05;</v>
      </c>
      <c r="L36" t="str">
        <f t="shared" si="13"/>
        <v>S_ca_start = 3.29384e-05,</v>
      </c>
      <c r="P36" s="5" t="str">
        <f>L44</f>
        <v>S_gas_ch4_start = 1.27199,</v>
      </c>
      <c r="R36" s="13" t="str">
        <f t="shared" si="5"/>
        <v>digester.S_gas_ch4_start = 1.27199,</v>
      </c>
      <c r="T36" t="str">
        <f t="shared" si="6"/>
        <v>uit.digester.S_gas_ch4_start = 1.27199,</v>
      </c>
    </row>
    <row r="37" spans="1:20" x14ac:dyDescent="0.3">
      <c r="A37" s="8" t="s">
        <v>270</v>
      </c>
      <c r="B37" s="2" t="str">
        <f t="shared" si="14"/>
        <v>5.55652e-05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5.55652e-05;</v>
      </c>
      <c r="J37" s="5" t="str">
        <f t="shared" si="15"/>
        <v>parameter Types.MolarDensity_M S_mg_start = 5.55652e-05;</v>
      </c>
      <c r="L37" t="str">
        <f t="shared" si="13"/>
        <v>S_mg_start = 5.55652e-05,</v>
      </c>
      <c r="P37" s="5" t="str">
        <f>L45</f>
        <v>S_gas_co2_start = 0.0165083,</v>
      </c>
      <c r="R37" s="13" t="str">
        <f t="shared" si="5"/>
        <v>digester.S_gas_co2_start = 0.0165083,</v>
      </c>
      <c r="T37" t="str">
        <f t="shared" si="6"/>
        <v>uit.digester.S_gas_co2_start = 0.0165083,</v>
      </c>
    </row>
    <row r="38" spans="1:20" x14ac:dyDescent="0.3">
      <c r="A38" s="8" t="s">
        <v>271</v>
      </c>
      <c r="B38" s="2" t="str">
        <f t="shared" si="14"/>
        <v>0.0144605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0.0144605;</v>
      </c>
      <c r="J38" s="5" t="str">
        <f t="shared" si="15"/>
        <v>parameter Types.MolarDensity_M S_an_start = 0.0144605;</v>
      </c>
      <c r="L38" t="str">
        <f t="shared" si="13"/>
        <v>S_an_start = 0.0144605,</v>
      </c>
      <c r="P38" s="5" t="str">
        <f>L46</f>
        <v>S_gas_nh3_start = 3.36995e-06,</v>
      </c>
      <c r="R38" s="13" t="str">
        <f t="shared" si="5"/>
        <v>digester.S_gas_nh3_start = 3.36995e-06,</v>
      </c>
      <c r="T38" t="str">
        <f t="shared" si="6"/>
        <v>uit.digester.S_gas_nh3_start = 3.36995e-06,</v>
      </c>
    </row>
    <row r="39" spans="1:20" x14ac:dyDescent="0.3">
      <c r="A39" s="8" t="s">
        <v>272</v>
      </c>
      <c r="B39" s="2" t="str">
        <f t="shared" si="14"/>
        <v>19.6505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19.6505;</v>
      </c>
      <c r="J39" s="5" t="str">
        <f t="shared" si="15"/>
        <v>parameter SI.MassConcentration ash_start = 19.6505;</v>
      </c>
      <c r="L39" t="str">
        <f t="shared" si="13"/>
        <v>ash_start = 19.6505,</v>
      </c>
      <c r="P39" s="5" t="str">
        <f>L48</f>
        <v>X_acp_start = 1.38933e-11,</v>
      </c>
      <c r="R39" s="13" t="str">
        <f t="shared" si="5"/>
        <v>digester.X_acp_start = 1.38933e-11,</v>
      </c>
      <c r="T39" t="str">
        <f t="shared" si="6"/>
        <v>uit.digester.X_acp_start = 1.38933e-11,</v>
      </c>
    </row>
    <row r="40" spans="1:20" x14ac:dyDescent="0.3">
      <c r="A40" s="8" t="s">
        <v>273</v>
      </c>
      <c r="B40" s="2" t="str">
        <f t="shared" si="14"/>
        <v>14.4374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14.4374;</v>
      </c>
      <c r="J40" s="5" t="str">
        <f t="shared" si="15"/>
        <v>parameter SI.MassConcentration X_lig_start = 14.4374;</v>
      </c>
      <c r="L40" t="str">
        <f t="shared" si="13"/>
        <v>X_lig_start = 14.4374,</v>
      </c>
      <c r="P40" s="5" t="str">
        <f>L49</f>
        <v>X_stru_start = 0.00934577,</v>
      </c>
      <c r="R40" s="13" t="str">
        <f t="shared" si="5"/>
        <v>digester.X_stru_start = 0.00934577,</v>
      </c>
      <c r="T40" t="str">
        <f t="shared" si="6"/>
        <v>uit.digester.X_stru_start = 0.00934577,</v>
      </c>
    </row>
    <row r="41" spans="1:20" x14ac:dyDescent="0.3">
      <c r="A41" s="8" t="s">
        <v>274</v>
      </c>
      <c r="B41" s="2"/>
      <c r="D41" t="s">
        <v>19</v>
      </c>
      <c r="J41" s="5" t="str">
        <f t="shared" si="15"/>
        <v xml:space="preserve">//    </v>
      </c>
      <c r="P41" s="5" t="str">
        <f>L50</f>
        <v>X_ccm_start = 0.00503224,</v>
      </c>
      <c r="R41" s="13" t="str">
        <f t="shared" si="5"/>
        <v>digester.X_ccm_start = 0.00503224,</v>
      </c>
      <c r="T41" t="str">
        <f t="shared" si="6"/>
        <v>uit.digester.X_ccm_start = 0.00503224,</v>
      </c>
    </row>
    <row r="42" spans="1:20" ht="15" thickBot="1" x14ac:dyDescent="0.35">
      <c r="A42" s="8" t="s">
        <v>275</v>
      </c>
      <c r="B42" s="2"/>
      <c r="D42" t="s">
        <v>48</v>
      </c>
      <c r="E42" t="s">
        <v>31</v>
      </c>
      <c r="J42" s="5" t="str">
        <f t="shared" si="15"/>
        <v xml:space="preserve">//Gas components   </v>
      </c>
      <c r="P42" s="6" t="str">
        <f>L51</f>
        <v>X_mag_start = 2.14477e-09</v>
      </c>
      <c r="R42" s="13" t="str">
        <f t="shared" si="5"/>
        <v>digester.X_mag_start = 2.14477e-09</v>
      </c>
      <c r="T42" t="str">
        <f t="shared" si="6"/>
        <v>uit.digester.X_mag_start = 2.14477e-09</v>
      </c>
    </row>
    <row r="43" spans="1:20" ht="15" thickBot="1" x14ac:dyDescent="0.35">
      <c r="A43" s="8" t="s">
        <v>276</v>
      </c>
      <c r="B43" s="2" t="str">
        <f>A38</f>
        <v>2.85573e-05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2.85573e-05;</v>
      </c>
      <c r="J43" s="5" t="str">
        <f t="shared" si="15"/>
        <v>parameter SI.MassConcentration S_gas_h2_start = 2.85573e-05;</v>
      </c>
      <c r="L43" t="str">
        <f>SUBSTITUTE(_xlfn.CONCAT(F43," ",G43," ",H43),";",",")</f>
        <v>S_gas_h2_start = 2.85573e-05,</v>
      </c>
      <c r="P43" s="3" t="s">
        <v>62</v>
      </c>
      <c r="R43" s="13"/>
    </row>
    <row r="44" spans="1:20" ht="16.2" thickBot="1" x14ac:dyDescent="0.35">
      <c r="A44" s="8" t="s">
        <v>277</v>
      </c>
      <c r="B44" s="2" t="str">
        <f t="shared" ref="B44:B46" si="16">A39</f>
        <v>1.27199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1.27199;</v>
      </c>
      <c r="J44" s="5" t="str">
        <f t="shared" si="15"/>
        <v>parameter SI.MassConcentration S_gas_ch4_start = 1.27199;</v>
      </c>
      <c r="L44" t="str">
        <f>SUBSTITUTE(_xlfn.CONCAT(F44," ",G44," ",H44),";",",")</f>
        <v>S_gas_ch4_start = 1.27199,</v>
      </c>
      <c r="P44" s="11" t="str">
        <f>L53</f>
        <v>xi_start = 0.16234,</v>
      </c>
      <c r="R44" s="14" t="str">
        <f>_xlfn.CONCAT("limPID.",P44)</f>
        <v>limPID.xi_start = 0.16234,</v>
      </c>
      <c r="T44" t="str">
        <f t="shared" si="6"/>
        <v>uit.limPID.xi_start = 0.16234,</v>
      </c>
    </row>
    <row r="45" spans="1:20" ht="15" thickBot="1" x14ac:dyDescent="0.35">
      <c r="A45" s="9" t="s">
        <v>278</v>
      </c>
      <c r="B45" s="2" t="str">
        <f t="shared" si="16"/>
        <v>0.0165083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0.0165083;</v>
      </c>
      <c r="J45" s="5" t="str">
        <f t="shared" si="15"/>
        <v>parameter Types.MolarDensity_M S_gas_co2_start = 0.0165083;</v>
      </c>
      <c r="L45" t="str">
        <f>SUBSTITUTE(_xlfn.CONCAT(F45," ",G45," ",H45),";",",")</f>
        <v>S_gas_co2_start = 0.0165083,</v>
      </c>
    </row>
    <row r="46" spans="1:20" ht="15" thickBot="1" x14ac:dyDescent="0.35">
      <c r="A46" s="3" t="s">
        <v>62</v>
      </c>
      <c r="B46" s="2" t="str">
        <f t="shared" si="16"/>
        <v>3.36995e-06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3.36995e-06;</v>
      </c>
      <c r="J46" s="5" t="str">
        <f t="shared" si="15"/>
        <v>parameter Types.MolarDensity_M S_gas_nh3_start = 3.36995e-06;</v>
      </c>
      <c r="L46" t="str">
        <f>SUBSTITUTE(_xlfn.CONCAT(F46," ",G46," ",H46),";",",")</f>
        <v>S_gas_nh3_start = 3.36995e-06,</v>
      </c>
    </row>
    <row r="47" spans="1:20" ht="15" thickBot="1" x14ac:dyDescent="0.35">
      <c r="A47" s="10">
        <v>0.16234000000000001</v>
      </c>
      <c r="J47" s="5" t="str">
        <f t="shared" si="15"/>
        <v xml:space="preserve">    </v>
      </c>
    </row>
    <row r="48" spans="1:20" x14ac:dyDescent="0.3">
      <c r="B48" s="2" t="str">
        <f>A42</f>
        <v>1.38933e-11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1.38933e-11;</v>
      </c>
      <c r="J48" s="5" t="str">
        <f t="shared" si="15"/>
        <v>parameter Types.MolarDensity_M X_acp_start = 1.38933e-11;</v>
      </c>
      <c r="L48" t="str">
        <f>SUBSTITUTE(_xlfn.CONCAT(F48," ",G48," ",H48),";",",")</f>
        <v>X_acp_start = 1.38933e-11,</v>
      </c>
    </row>
    <row r="49" spans="2:12" x14ac:dyDescent="0.3">
      <c r="B49" s="2" t="str">
        <f t="shared" ref="B49:B51" si="17">A43</f>
        <v>0.00934577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0.00934577;</v>
      </c>
      <c r="J49" s="5" t="str">
        <f t="shared" si="15"/>
        <v>parameter Types.MolarDensity_M X_stru_start = 0.00934577;</v>
      </c>
      <c r="L49" t="str">
        <f>SUBSTITUTE(_xlfn.CONCAT(F49," ",G49," ",H49),";",",")</f>
        <v>X_stru_start = 0.00934577,</v>
      </c>
    </row>
    <row r="50" spans="2:12" x14ac:dyDescent="0.3">
      <c r="B50" s="2" t="str">
        <f t="shared" si="17"/>
        <v>0.00503224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0.00503224;</v>
      </c>
      <c r="J50" s="5" t="str">
        <f t="shared" si="15"/>
        <v>parameter Types.MolarDensity_M X_ccm_start = 0.00503224;</v>
      </c>
      <c r="L50" t="str">
        <f>SUBSTITUTE(_xlfn.CONCAT(F50," ",G50," ",H50),";",",")</f>
        <v>X_ccm_start = 0.00503224,</v>
      </c>
    </row>
    <row r="51" spans="2:12" ht="15" thickBot="1" x14ac:dyDescent="0.35">
      <c r="B51" s="2" t="str">
        <f t="shared" si="17"/>
        <v>2.14477e-09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2.14477e-09;</v>
      </c>
      <c r="J51" s="6" t="str">
        <f t="shared" si="15"/>
        <v>parameter Types.MolarDensity_M X_mag_start = 2.14477e-09;</v>
      </c>
      <c r="L51" t="str">
        <f>SUBSTITUTE(_xlfn.CONCAT(F51," ",G51," ",H51),";","")</f>
        <v>X_mag_start = 2.14477e-09</v>
      </c>
    </row>
    <row r="53" spans="2:12" ht="15.6" x14ac:dyDescent="0.3">
      <c r="L53" s="1" t="str">
        <f>_xlfn.CONCAT("xi_start ="," ",A47,",")</f>
        <v>xi_start = 0.16234,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63EA-94B7-473A-B6FE-A596BC20E5C7}">
  <dimension ref="A1:R53"/>
  <sheetViews>
    <sheetView topLeftCell="A12" zoomScale="60" zoomScaleNormal="60" workbookViewId="0">
      <selection activeCell="R44" sqref="R44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18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18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18" x14ac:dyDescent="0.3">
      <c r="A3" s="7" t="s">
        <v>66</v>
      </c>
      <c r="B3" s="2" t="str">
        <f>A3</f>
        <v>2.61645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2.61645;</v>
      </c>
      <c r="J3" s="5" t="str">
        <f t="shared" ref="J3:J51" si="0">_xlfn.CONCAT(D3," ",E3," ",F3," ",G3," ",H3,)</f>
        <v>parameter SI.MassConcentration X_su_start = 2.61645;</v>
      </c>
      <c r="L3" t="str">
        <f t="shared" ref="L3:L9" si="1">SUBSTITUTE(_xlfn.CONCAT(F3," ",G3," ",H3),";",",")</f>
        <v>X_su_start = 2.61645,</v>
      </c>
      <c r="P3" s="4" t="str">
        <f>L3</f>
        <v>X_su_start = 2.61645,</v>
      </c>
      <c r="R3" s="12" t="str">
        <f>_xlfn.CONCAT("digester.",P3)</f>
        <v>digester.X_su_start = 2.61645,</v>
      </c>
    </row>
    <row r="4" spans="1:18" x14ac:dyDescent="0.3">
      <c r="A4" s="8" t="s">
        <v>67</v>
      </c>
      <c r="B4" s="2" t="str">
        <f t="shared" ref="B4:B9" si="2">A4</f>
        <v>0.565469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0.565469;</v>
      </c>
      <c r="J4" s="5" t="str">
        <f t="shared" si="0"/>
        <v>parameter SI.MassConcentration X_aa_start = 0.565469;</v>
      </c>
      <c r="L4" t="str">
        <f t="shared" si="1"/>
        <v>X_aa_start = 0.565469,</v>
      </c>
      <c r="P4" s="5" t="str">
        <f t="shared" ref="P4:P9" si="4">L4</f>
        <v>X_aa_start = 0.565469,</v>
      </c>
      <c r="R4" s="13" t="str">
        <f t="shared" ref="R4:R42" si="5">_xlfn.CONCAT("digester.",P4)</f>
        <v>digester.X_aa_start = 0.565469,</v>
      </c>
    </row>
    <row r="5" spans="1:18" x14ac:dyDescent="0.3">
      <c r="A5" s="8" t="s">
        <v>68</v>
      </c>
      <c r="B5" s="2" t="str">
        <f t="shared" si="2"/>
        <v>0.28754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0.28754;</v>
      </c>
      <c r="J5" s="5" t="str">
        <f t="shared" si="0"/>
        <v>parameter SI.MassConcentration X_fa_start = 0.28754;</v>
      </c>
      <c r="L5" t="str">
        <f t="shared" si="1"/>
        <v>X_fa_start = 0.28754,</v>
      </c>
      <c r="P5" s="5" t="str">
        <f t="shared" si="4"/>
        <v>X_fa_start = 0.28754,</v>
      </c>
      <c r="R5" s="13" t="str">
        <f t="shared" si="5"/>
        <v>digester.X_fa_start = 0.28754,</v>
      </c>
    </row>
    <row r="6" spans="1:18" x14ac:dyDescent="0.3">
      <c r="A6" s="8" t="s">
        <v>69</v>
      </c>
      <c r="B6" s="2" t="str">
        <f t="shared" si="2"/>
        <v>0.497314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0.497314;</v>
      </c>
      <c r="J6" s="5" t="str">
        <f t="shared" si="0"/>
        <v>parameter SI.MassConcentration X_c4_start = 0.497314;</v>
      </c>
      <c r="L6" t="str">
        <f t="shared" si="1"/>
        <v>X_c4_start = 0.497314,</v>
      </c>
      <c r="P6" s="5" t="str">
        <f t="shared" si="4"/>
        <v>X_c4_start = 0.497314,</v>
      </c>
      <c r="R6" s="13" t="str">
        <f t="shared" si="5"/>
        <v>digester.X_c4_start = 0.497314,</v>
      </c>
    </row>
    <row r="7" spans="1:18" x14ac:dyDescent="0.3">
      <c r="A7" s="8" t="s">
        <v>70</v>
      </c>
      <c r="B7" s="2" t="str">
        <f t="shared" si="2"/>
        <v>0.315713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0.315713;</v>
      </c>
      <c r="J7" s="5" t="str">
        <f t="shared" si="0"/>
        <v>parameter SI.MassConcentration X_pro_start = 0.315713;</v>
      </c>
      <c r="L7" t="str">
        <f t="shared" si="1"/>
        <v>X_pro_start = 0.315713,</v>
      </c>
      <c r="P7" s="5" t="str">
        <f t="shared" si="4"/>
        <v>X_pro_start = 0.315713,</v>
      </c>
      <c r="R7" s="13" t="str">
        <f t="shared" si="5"/>
        <v>digester.X_pro_start = 0.315713,</v>
      </c>
    </row>
    <row r="8" spans="1:18" x14ac:dyDescent="0.3">
      <c r="A8" s="8" t="s">
        <v>71</v>
      </c>
      <c r="B8" s="2" t="str">
        <f t="shared" si="2"/>
        <v>1.21554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1.21554;</v>
      </c>
      <c r="J8" s="5" t="str">
        <f t="shared" si="0"/>
        <v>parameter SI.MassConcentration X_ac_start = 1.21554;</v>
      </c>
      <c r="L8" t="str">
        <f t="shared" si="1"/>
        <v>X_ac_start = 1.21554,</v>
      </c>
      <c r="P8" s="5" t="str">
        <f t="shared" si="4"/>
        <v>X_ac_start = 1.21554,</v>
      </c>
      <c r="R8" s="13" t="str">
        <f t="shared" si="5"/>
        <v>digester.X_ac_start = 1.21554,</v>
      </c>
    </row>
    <row r="9" spans="1:18" x14ac:dyDescent="0.3">
      <c r="A9" s="8" t="s">
        <v>72</v>
      </c>
      <c r="B9" s="2" t="str">
        <f t="shared" si="2"/>
        <v>0.620361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0.620361;</v>
      </c>
      <c r="J9" s="5" t="str">
        <f t="shared" si="0"/>
        <v>parameter SI.MassConcentration X_h2_start = 0.620361;</v>
      </c>
      <c r="L9" t="str">
        <f t="shared" si="1"/>
        <v>X_h2_start = 0.620361,</v>
      </c>
      <c r="P9" s="5" t="str">
        <f t="shared" si="4"/>
        <v>X_h2_start = 0.620361,</v>
      </c>
      <c r="R9" s="13" t="str">
        <f t="shared" si="5"/>
        <v>digester.X_h2_start = 0.620361,</v>
      </c>
    </row>
    <row r="10" spans="1:18" x14ac:dyDescent="0.3">
      <c r="A10" s="8" t="s">
        <v>47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6">L11</f>
        <v>X_c_start = 0,</v>
      </c>
      <c r="R10" s="13" t="str">
        <f t="shared" si="5"/>
        <v>digester.X_c_start = 0,</v>
      </c>
    </row>
    <row r="11" spans="1:18" x14ac:dyDescent="0.3">
      <c r="A11" s="8" t="s">
        <v>73</v>
      </c>
      <c r="B11" s="2" t="str">
        <f>A10</f>
        <v>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0;</v>
      </c>
      <c r="J11" s="5" t="str">
        <f t="shared" si="0"/>
        <v>parameter SI.MassConcentration X_c_start = 0;</v>
      </c>
      <c r="L11" t="str">
        <f>SUBSTITUTE(_xlfn.CONCAT(F11," ",G11," ",H11),";",",")</f>
        <v>X_c_start = 0,</v>
      </c>
      <c r="P11" s="5" t="str">
        <f t="shared" si="6"/>
        <v>X_i_start = 36.0924,</v>
      </c>
      <c r="R11" s="13" t="str">
        <f t="shared" si="5"/>
        <v>digester.X_i_start = 36.0924,</v>
      </c>
    </row>
    <row r="12" spans="1:18" x14ac:dyDescent="0.3">
      <c r="A12" s="8" t="s">
        <v>74</v>
      </c>
      <c r="B12" s="2" t="str">
        <f t="shared" ref="B12:B27" si="7">A11</f>
        <v>36.0924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36.0924;</v>
      </c>
      <c r="J12" s="5" t="str">
        <f t="shared" si="0"/>
        <v>parameter SI.MassConcentration X_i_start = 36.0924;</v>
      </c>
      <c r="L12" t="str">
        <f>SUBSTITUTE(_xlfn.CONCAT(F12," ",G12," ",H12),";",",")</f>
        <v>X_i_start = 36.0924,</v>
      </c>
      <c r="P12" s="5" t="str">
        <f t="shared" si="6"/>
        <v>X_ch_start = {0.82044,0.709793,10.3487},</v>
      </c>
      <c r="R12" s="13" t="str">
        <f t="shared" si="5"/>
        <v>digester.X_ch_start = {0.82044,0.709793,10.3487},</v>
      </c>
    </row>
    <row r="13" spans="1:18" x14ac:dyDescent="0.3">
      <c r="A13" s="8" t="s">
        <v>75</v>
      </c>
      <c r="B13" s="2" t="str">
        <f t="shared" si="7"/>
        <v>0.82044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{0.82044,0.709793,10.3487};</v>
      </c>
      <c r="J13" s="5" t="str">
        <f t="shared" si="0"/>
        <v>parameter SI.MassConcentration X_ch_start[3] = {0.82044,0.709793,10.3487};</v>
      </c>
      <c r="L13" t="str">
        <f>SUBSTITUTE(SUBSTITUTE(_xlfn.CONCAT(F13," ",G13," ",H13),";",","),"[3]","")</f>
        <v>X_ch_start = {0.82044,0.709793,10.3487},</v>
      </c>
      <c r="P13" s="5" t="str">
        <f t="shared" si="6"/>
        <v>X_pr_start = {0.140817,0.864189},</v>
      </c>
      <c r="R13" s="13" t="str">
        <f t="shared" si="5"/>
        <v>digester.X_pr_start = {0.140817,0.864189},</v>
      </c>
    </row>
    <row r="14" spans="1:18" x14ac:dyDescent="0.3">
      <c r="A14" s="8" t="s">
        <v>76</v>
      </c>
      <c r="B14" s="2" t="str">
        <f t="shared" si="7"/>
        <v>0.709793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{0.140817,0.864189};</v>
      </c>
      <c r="J14" s="5" t="str">
        <f t="shared" si="0"/>
        <v>parameter SI.MassConcentration X_pr_start[2] = {0.140817,0.864189};</v>
      </c>
      <c r="L14" t="str">
        <f>SUBSTITUTE(SUBSTITUTE(_xlfn.CONCAT(F14," ",G14," ",H14),";",","),"[2]","")</f>
        <v>X_pr_start = {0.140817,0.864189},</v>
      </c>
      <c r="P14" s="5" t="str">
        <f t="shared" si="6"/>
        <v>X_li_start = 0.704477,</v>
      </c>
      <c r="R14" s="13" t="str">
        <f t="shared" si="5"/>
        <v>digester.X_li_start = 0.704477,</v>
      </c>
    </row>
    <row r="15" spans="1:18" x14ac:dyDescent="0.3">
      <c r="A15" s="8" t="s">
        <v>77</v>
      </c>
      <c r="B15" s="2" t="str">
        <f t="shared" si="7"/>
        <v>10.3487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0.704477;</v>
      </c>
      <c r="J15" s="5" t="str">
        <f t="shared" si="0"/>
        <v>parameter SI.MassConcentration X_li_start = 0.704477;</v>
      </c>
      <c r="L15" t="str">
        <f>SUBSTITUTE(_xlfn.CONCAT(F15," ",G15," ",H15),";",",")</f>
        <v>X_li_start = 0.704477,</v>
      </c>
      <c r="P15" s="5" t="str">
        <f t="shared" si="6"/>
        <v>X_p_start = 0.761392,</v>
      </c>
      <c r="R15" s="13" t="str">
        <f t="shared" si="5"/>
        <v>digester.X_p_start = 0.761392,</v>
      </c>
    </row>
    <row r="16" spans="1:18" x14ac:dyDescent="0.3">
      <c r="A16" s="8" t="s">
        <v>78</v>
      </c>
      <c r="B16" s="2" t="str">
        <f t="shared" si="7"/>
        <v>0.140817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0.761392;</v>
      </c>
      <c r="J16" s="5" t="str">
        <f t="shared" si="0"/>
        <v>parameter SI.MassConcentration X_p_start = 0.761392;</v>
      </c>
      <c r="L16" t="str">
        <f>SUBSTITUTE(_xlfn.CONCAT(F16," ",G16," ",H16),";",",")</f>
        <v>X_p_start = 0.761392,</v>
      </c>
      <c r="P16" s="5" t="str">
        <f t="shared" ref="P16:P23" si="8">L20</f>
        <v>S_i_start = 0.190348,</v>
      </c>
      <c r="R16" s="13" t="str">
        <f t="shared" si="5"/>
        <v>digester.S_i_start = 0.190348,</v>
      </c>
    </row>
    <row r="17" spans="1:18" x14ac:dyDescent="0.3">
      <c r="A17" s="8" t="s">
        <v>79</v>
      </c>
      <c r="B17" s="2" t="str">
        <f t="shared" si="7"/>
        <v>0.864189</v>
      </c>
      <c r="D17" t="s">
        <v>19</v>
      </c>
      <c r="J17" s="5" t="str">
        <f t="shared" si="0"/>
        <v xml:space="preserve">//    </v>
      </c>
      <c r="P17" s="5" t="str">
        <f t="shared" si="8"/>
        <v>S_su_start = 0.0246646,</v>
      </c>
      <c r="R17" s="13" t="str">
        <f t="shared" si="5"/>
        <v>digester.S_su_start = 0.0246646,</v>
      </c>
    </row>
    <row r="18" spans="1:18" x14ac:dyDescent="0.3">
      <c r="A18" s="8" t="s">
        <v>80</v>
      </c>
      <c r="B18" s="2" t="str">
        <f t="shared" si="7"/>
        <v>0.704477</v>
      </c>
      <c r="D18" t="s">
        <v>19</v>
      </c>
      <c r="J18" s="5" t="str">
        <f t="shared" si="0"/>
        <v xml:space="preserve">//    </v>
      </c>
      <c r="P18" s="5" t="str">
        <f t="shared" si="8"/>
        <v>S_aa_start = 0.0260042,</v>
      </c>
      <c r="R18" s="13" t="str">
        <f t="shared" si="5"/>
        <v>digester.S_aa_start = 0.0260042,</v>
      </c>
    </row>
    <row r="19" spans="1:18" x14ac:dyDescent="0.3">
      <c r="A19" s="8" t="s">
        <v>81</v>
      </c>
      <c r="B19" s="2" t="str">
        <f t="shared" si="7"/>
        <v>0.761392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8"/>
        <v>S_fa_start = 0.0444484,</v>
      </c>
      <c r="R19" s="13" t="str">
        <f t="shared" si="5"/>
        <v>digester.S_fa_start = 0.0444484,</v>
      </c>
    </row>
    <row r="20" spans="1:18" x14ac:dyDescent="0.3">
      <c r="A20" s="8" t="s">
        <v>82</v>
      </c>
      <c r="B20" s="2" t="str">
        <f t="shared" si="7"/>
        <v>0.190348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0.190348;</v>
      </c>
      <c r="J20" s="5" t="str">
        <f t="shared" si="0"/>
        <v>parameter SI.MassConcentration S_i_start = 0.190348;</v>
      </c>
      <c r="L20" t="str">
        <f t="shared" ref="L20:L27" si="9">SUBSTITUTE(_xlfn.CONCAT(F20," ",G20," ",H20),";",",")</f>
        <v>S_i_start = 0.190348,</v>
      </c>
      <c r="P20" s="5" t="str">
        <f t="shared" si="8"/>
        <v>S_va_start = 0.00353313,</v>
      </c>
      <c r="R20" s="13" t="str">
        <f t="shared" si="5"/>
        <v>digester.S_va_start = 0.00353313,</v>
      </c>
    </row>
    <row r="21" spans="1:18" x14ac:dyDescent="0.3">
      <c r="A21" s="8" t="s">
        <v>83</v>
      </c>
      <c r="B21" s="2" t="str">
        <f t="shared" si="7"/>
        <v>0.0246646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0">_xlfn.CONCAT(B21,";")</f>
        <v>0.0246646;</v>
      </c>
      <c r="J21" s="5" t="str">
        <f t="shared" si="0"/>
        <v>parameter SI.MassConcentration S_su_start = 0.0246646;</v>
      </c>
      <c r="L21" t="str">
        <f t="shared" si="9"/>
        <v>S_su_start = 0.0246646,</v>
      </c>
      <c r="P21" s="5" t="str">
        <f t="shared" si="8"/>
        <v>S_bu_start = 0.00643611,</v>
      </c>
      <c r="R21" s="13" t="str">
        <f t="shared" si="5"/>
        <v>digester.S_bu_start = 0.00643611,</v>
      </c>
    </row>
    <row r="22" spans="1:18" x14ac:dyDescent="0.3">
      <c r="A22" s="8" t="s">
        <v>84</v>
      </c>
      <c r="B22" s="2" t="str">
        <f t="shared" si="7"/>
        <v>0.0260042</v>
      </c>
      <c r="D22" t="s">
        <v>1</v>
      </c>
      <c r="E22" t="s">
        <v>2</v>
      </c>
      <c r="F22" t="s">
        <v>23</v>
      </c>
      <c r="G22" t="s">
        <v>4</v>
      </c>
      <c r="H22" t="str">
        <f t="shared" si="10"/>
        <v>0.0260042;</v>
      </c>
      <c r="J22" s="5" t="str">
        <f t="shared" si="0"/>
        <v>parameter SI.MassConcentration S_aa_start = 0.0260042;</v>
      </c>
      <c r="L22" t="str">
        <f t="shared" si="9"/>
        <v>S_aa_start = 0.0260042,</v>
      </c>
      <c r="P22" s="5" t="str">
        <f t="shared" si="8"/>
        <v>S_pro_start = 0.0508866,</v>
      </c>
      <c r="R22" s="13" t="str">
        <f t="shared" si="5"/>
        <v>digester.S_pro_start = 0.0508866,</v>
      </c>
    </row>
    <row r="23" spans="1:18" x14ac:dyDescent="0.3">
      <c r="A23" s="8" t="s">
        <v>85</v>
      </c>
      <c r="B23" s="2" t="str">
        <f t="shared" si="7"/>
        <v>0.0444484</v>
      </c>
      <c r="D23" t="s">
        <v>1</v>
      </c>
      <c r="E23" t="s">
        <v>2</v>
      </c>
      <c r="F23" t="s">
        <v>24</v>
      </c>
      <c r="G23" t="s">
        <v>4</v>
      </c>
      <c r="H23" t="str">
        <f t="shared" si="10"/>
        <v>0.0444484;</v>
      </c>
      <c r="J23" s="5" t="str">
        <f t="shared" si="0"/>
        <v>parameter SI.MassConcentration S_fa_start = 0.0444484;</v>
      </c>
      <c r="L23" t="str">
        <f t="shared" si="9"/>
        <v>S_fa_start = 0.0444484,</v>
      </c>
      <c r="P23" s="5" t="str">
        <f t="shared" si="8"/>
        <v>S_ac_start = 0.251591,</v>
      </c>
      <c r="R23" s="13" t="str">
        <f t="shared" si="5"/>
        <v>digester.S_ac_start = 0.251591,</v>
      </c>
    </row>
    <row r="24" spans="1:18" x14ac:dyDescent="0.3">
      <c r="A24" s="8" t="s">
        <v>86</v>
      </c>
      <c r="B24" s="2" t="str">
        <f t="shared" si="7"/>
        <v>0.00353313</v>
      </c>
      <c r="D24" t="s">
        <v>1</v>
      </c>
      <c r="E24" t="s">
        <v>2</v>
      </c>
      <c r="F24" t="s">
        <v>25</v>
      </c>
      <c r="G24" t="s">
        <v>4</v>
      </c>
      <c r="H24" t="str">
        <f t="shared" si="10"/>
        <v>0.00353313;</v>
      </c>
      <c r="J24" s="5" t="str">
        <f t="shared" si="0"/>
        <v>parameter SI.MassConcentration S_va_start = 0.00353313;</v>
      </c>
      <c r="L24" t="str">
        <f t="shared" si="9"/>
        <v>S_va_start = 0.00353313,</v>
      </c>
      <c r="P24" s="5" t="str">
        <f>L29</f>
        <v>S_h2_start = 6.87717e-07,</v>
      </c>
      <c r="R24" s="13" t="str">
        <f t="shared" si="5"/>
        <v>digester.S_h2_start = 6.87717e-07,</v>
      </c>
    </row>
    <row r="25" spans="1:18" x14ac:dyDescent="0.3">
      <c r="A25" s="8" t="s">
        <v>87</v>
      </c>
      <c r="B25" s="2" t="str">
        <f t="shared" si="7"/>
        <v>0.00643611</v>
      </c>
      <c r="D25" t="s">
        <v>1</v>
      </c>
      <c r="E25" t="s">
        <v>2</v>
      </c>
      <c r="F25" t="s">
        <v>26</v>
      </c>
      <c r="G25" t="s">
        <v>4</v>
      </c>
      <c r="H25" t="str">
        <f t="shared" si="10"/>
        <v>0.00643611;</v>
      </c>
      <c r="J25" s="5" t="str">
        <f t="shared" si="0"/>
        <v>parameter SI.MassConcentration S_bu_start = 0.00643611;</v>
      </c>
      <c r="L25" t="str">
        <f t="shared" si="9"/>
        <v>S_bu_start = 0.00643611,</v>
      </c>
      <c r="P25" s="5" t="str">
        <f>L30</f>
        <v>S_ch4_start = 0.262187,</v>
      </c>
      <c r="R25" s="13" t="str">
        <f t="shared" si="5"/>
        <v>digester.S_ch4_start = 0.262187,</v>
      </c>
    </row>
    <row r="26" spans="1:18" x14ac:dyDescent="0.3">
      <c r="A26" s="8" t="s">
        <v>88</v>
      </c>
      <c r="B26" s="2" t="str">
        <f t="shared" si="7"/>
        <v>0.0508866</v>
      </c>
      <c r="D26" t="s">
        <v>1</v>
      </c>
      <c r="E26" t="s">
        <v>2</v>
      </c>
      <c r="F26" t="s">
        <v>27</v>
      </c>
      <c r="G26" t="s">
        <v>4</v>
      </c>
      <c r="H26" t="str">
        <f t="shared" si="10"/>
        <v>0.0508866;</v>
      </c>
      <c r="J26" s="5" t="str">
        <f t="shared" si="0"/>
        <v>parameter SI.MassConcentration S_pro_start = 0.0508866;</v>
      </c>
      <c r="L26" t="str">
        <f t="shared" si="9"/>
        <v>S_pro_start = 0.0508866,</v>
      </c>
      <c r="P26" s="5" t="str">
        <f t="shared" ref="P26:P34" si="11">L32</f>
        <v>S_ic_start = 0.256529,</v>
      </c>
      <c r="R26" s="13" t="str">
        <f t="shared" si="5"/>
        <v>digester.S_ic_start = 0.256529,</v>
      </c>
    </row>
    <row r="27" spans="1:18" x14ac:dyDescent="0.3">
      <c r="A27" s="8" t="s">
        <v>89</v>
      </c>
      <c r="B27" s="2" t="str">
        <f t="shared" si="7"/>
        <v>0.251591</v>
      </c>
      <c r="D27" t="s">
        <v>1</v>
      </c>
      <c r="E27" t="s">
        <v>2</v>
      </c>
      <c r="F27" t="s">
        <v>28</v>
      </c>
      <c r="G27" t="s">
        <v>4</v>
      </c>
      <c r="H27" t="str">
        <f t="shared" si="10"/>
        <v>0.251591;</v>
      </c>
      <c r="J27" s="5" t="str">
        <f t="shared" si="0"/>
        <v>parameter SI.MassConcentration S_ac_start = 0.251591;</v>
      </c>
      <c r="L27" t="str">
        <f t="shared" si="9"/>
        <v>S_ac_start = 0.251591,</v>
      </c>
      <c r="P27" s="5" t="str">
        <f t="shared" si="11"/>
        <v>S_in_start = 0.157827,</v>
      </c>
      <c r="R27" s="13" t="str">
        <f t="shared" si="5"/>
        <v>digester.S_in_start = 0.157827,</v>
      </c>
    </row>
    <row r="28" spans="1:18" x14ac:dyDescent="0.3">
      <c r="A28" s="8" t="s">
        <v>90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1"/>
        <v>S_ip_start = 0.00504943,</v>
      </c>
      <c r="R28" s="13" t="str">
        <f t="shared" si="5"/>
        <v>digester.S_ip_start = 0.00504943,</v>
      </c>
    </row>
    <row r="29" spans="1:18" x14ac:dyDescent="0.3">
      <c r="A29" s="8" t="s">
        <v>91</v>
      </c>
      <c r="B29" s="2" t="str">
        <f>A27</f>
        <v>6.87717e-07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0"/>
        <v>6.87717e-07;</v>
      </c>
      <c r="J29" s="5" t="str">
        <f t="shared" si="0"/>
        <v>parameter SI.MassConcentration S_h2_start = 6.87717e-07;</v>
      </c>
      <c r="L29" t="str">
        <f>SUBSTITUTE(_xlfn.CONCAT(F29," ",G29," ",H29),";",",")</f>
        <v>S_h2_start = 6.87717e-07,</v>
      </c>
      <c r="P29" s="5" t="str">
        <f t="shared" si="11"/>
        <v>S_cat_start = 0.121528,</v>
      </c>
      <c r="R29" s="13" t="str">
        <f t="shared" si="5"/>
        <v>digester.S_cat_start = 0.121528,</v>
      </c>
    </row>
    <row r="30" spans="1:18" x14ac:dyDescent="0.3">
      <c r="A30" s="8" t="s">
        <v>92</v>
      </c>
      <c r="B30" s="2" t="str">
        <f>A28</f>
        <v>0.262187</v>
      </c>
      <c r="D30" t="s">
        <v>1</v>
      </c>
      <c r="E30" t="s">
        <v>2</v>
      </c>
      <c r="F30" t="s">
        <v>33</v>
      </c>
      <c r="G30" t="s">
        <v>4</v>
      </c>
      <c r="H30" t="str">
        <f t="shared" si="10"/>
        <v>0.262187;</v>
      </c>
      <c r="J30" s="5" t="str">
        <f t="shared" si="0"/>
        <v>parameter SI.MassConcentration S_ch4_start = 0.262187;</v>
      </c>
      <c r="L30" t="str">
        <f>SUBSTITUTE(_xlfn.CONCAT(F30," ",G30," ",H30),";",",")</f>
        <v>S_ch4_start = 0.262187,</v>
      </c>
      <c r="P30" s="5" t="str">
        <f t="shared" si="11"/>
        <v>S_ca_start = 3.36621e-05,</v>
      </c>
      <c r="R30" s="13" t="str">
        <f t="shared" si="5"/>
        <v>digester.S_ca_start = 3.36621e-05,</v>
      </c>
    </row>
    <row r="31" spans="1:18" x14ac:dyDescent="0.3">
      <c r="A31" s="8" t="s">
        <v>93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1"/>
        <v>S_mg_start = 5.68718e-05,</v>
      </c>
      <c r="R31" s="13" t="str">
        <f t="shared" si="5"/>
        <v>digester.S_mg_start = 5.68718e-05,</v>
      </c>
    </row>
    <row r="32" spans="1:18" x14ac:dyDescent="0.3">
      <c r="A32" s="8" t="s">
        <v>94</v>
      </c>
      <c r="B32" s="2" t="str">
        <f>A29</f>
        <v>0.256529</v>
      </c>
      <c r="D32" t="s">
        <v>1</v>
      </c>
      <c r="E32" t="s">
        <v>36</v>
      </c>
      <c r="F32" t="s">
        <v>37</v>
      </c>
      <c r="G32" t="s">
        <v>4</v>
      </c>
      <c r="H32" t="str">
        <f t="shared" si="10"/>
        <v>0.256529;</v>
      </c>
      <c r="J32" s="5" t="str">
        <f t="shared" si="0"/>
        <v>parameter Types.MolarDensity_M S_ic_start = 0.256529;</v>
      </c>
      <c r="L32" t="str">
        <f t="shared" ref="L32:L40" si="12">SUBSTITUTE(_xlfn.CONCAT(F32," ",G32," ",H32),";",",")</f>
        <v>S_ic_start = 0.256529,</v>
      </c>
      <c r="P32" s="5" t="str">
        <f t="shared" si="11"/>
        <v>S_an_start = 0.0156,</v>
      </c>
      <c r="R32" s="13" t="str">
        <f t="shared" si="5"/>
        <v>digester.S_an_start = 0.0156,</v>
      </c>
    </row>
    <row r="33" spans="1:18" x14ac:dyDescent="0.3">
      <c r="A33" s="8" t="s">
        <v>95</v>
      </c>
      <c r="B33" s="2" t="str">
        <f t="shared" ref="B33:B40" si="13">A30</f>
        <v>0.157827</v>
      </c>
      <c r="D33" t="s">
        <v>1</v>
      </c>
      <c r="E33" t="s">
        <v>36</v>
      </c>
      <c r="F33" t="s">
        <v>38</v>
      </c>
      <c r="G33" t="s">
        <v>4</v>
      </c>
      <c r="H33" t="str">
        <f t="shared" si="10"/>
        <v>0.157827;</v>
      </c>
      <c r="J33" s="5" t="str">
        <f t="shared" si="0"/>
        <v>parameter Types.MolarDensity_M S_in_start = 0.157827;</v>
      </c>
      <c r="L33" t="str">
        <f t="shared" si="12"/>
        <v>S_in_start = 0.157827,</v>
      </c>
      <c r="P33" s="5" t="str">
        <f t="shared" si="11"/>
        <v>ash_start = 14.1091,</v>
      </c>
      <c r="R33" s="13" t="str">
        <f t="shared" si="5"/>
        <v>digester.ash_start = 14.1091,</v>
      </c>
    </row>
    <row r="34" spans="1:18" x14ac:dyDescent="0.3">
      <c r="A34" s="8" t="s">
        <v>96</v>
      </c>
      <c r="B34" s="2" t="str">
        <f t="shared" si="13"/>
        <v>0.00504943</v>
      </c>
      <c r="D34" t="s">
        <v>1</v>
      </c>
      <c r="E34" t="s">
        <v>36</v>
      </c>
      <c r="F34" t="s">
        <v>39</v>
      </c>
      <c r="G34" t="s">
        <v>4</v>
      </c>
      <c r="H34" t="str">
        <f t="shared" si="10"/>
        <v>0.00504943;</v>
      </c>
      <c r="J34" s="5" t="str">
        <f t="shared" si="0"/>
        <v>parameter Types.MolarDensity_M S_ip_start = 0.00504943;</v>
      </c>
      <c r="L34" t="str">
        <f t="shared" si="12"/>
        <v>S_ip_start = 0.00504943,</v>
      </c>
      <c r="P34" s="5" t="str">
        <f t="shared" si="11"/>
        <v>X_lig_start = 13.3149,</v>
      </c>
      <c r="R34" s="13" t="str">
        <f t="shared" si="5"/>
        <v>digester.X_lig_start = 13.3149,</v>
      </c>
    </row>
    <row r="35" spans="1:18" x14ac:dyDescent="0.3">
      <c r="A35" s="8" t="s">
        <v>97</v>
      </c>
      <c r="B35" s="2" t="str">
        <f t="shared" si="13"/>
        <v>0.121528</v>
      </c>
      <c r="D35" t="s">
        <v>1</v>
      </c>
      <c r="E35" t="s">
        <v>36</v>
      </c>
      <c r="F35" t="s">
        <v>40</v>
      </c>
      <c r="G35" t="s">
        <v>4</v>
      </c>
      <c r="H35" t="str">
        <f t="shared" si="10"/>
        <v>0.121528;</v>
      </c>
      <c r="J35" s="5" t="str">
        <f t="shared" si="0"/>
        <v>parameter Types.MolarDensity_M S_cat_start = 0.121528;</v>
      </c>
      <c r="L35" t="str">
        <f t="shared" si="12"/>
        <v>S_cat_start = 0.121528,</v>
      </c>
      <c r="P35" s="5" t="str">
        <f>L43</f>
        <v>S_gas_h2_start = 5.43453e-06,</v>
      </c>
      <c r="R35" s="13" t="str">
        <f t="shared" si="5"/>
        <v>digester.S_gas_h2_start = 5.43453e-06,</v>
      </c>
    </row>
    <row r="36" spans="1:18" x14ac:dyDescent="0.3">
      <c r="A36" s="8" t="s">
        <v>98</v>
      </c>
      <c r="B36" s="2" t="str">
        <f t="shared" si="13"/>
        <v>3.36621e-05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0"/>
        <v>3.36621e-05;</v>
      </c>
      <c r="J36" s="5" t="str">
        <f t="shared" si="0"/>
        <v>parameter Types.MolarDensity_M S_ca_start = 3.36621e-05;</v>
      </c>
      <c r="L36" t="str">
        <f t="shared" si="12"/>
        <v>S_ca_start = 3.36621e-05,</v>
      </c>
      <c r="P36" s="5" t="str">
        <f>L44</f>
        <v>S_gas_ch4_start = 1.23292,</v>
      </c>
      <c r="R36" s="13" t="str">
        <f t="shared" si="5"/>
        <v>digester.S_gas_ch4_start = 1.23292,</v>
      </c>
    </row>
    <row r="37" spans="1:18" x14ac:dyDescent="0.3">
      <c r="A37" s="8" t="s">
        <v>99</v>
      </c>
      <c r="B37" s="2" t="str">
        <f t="shared" si="13"/>
        <v>5.68718e-05</v>
      </c>
      <c r="D37" t="s">
        <v>1</v>
      </c>
      <c r="E37" t="s">
        <v>36</v>
      </c>
      <c r="F37" t="s">
        <v>42</v>
      </c>
      <c r="G37" t="s">
        <v>4</v>
      </c>
      <c r="H37" t="str">
        <f t="shared" si="10"/>
        <v>5.68718e-05;</v>
      </c>
      <c r="J37" s="5" t="str">
        <f t="shared" si="0"/>
        <v>parameter Types.MolarDensity_M S_mg_start = 5.68718e-05;</v>
      </c>
      <c r="L37" t="str">
        <f t="shared" si="12"/>
        <v>S_mg_start = 5.68718e-05,</v>
      </c>
      <c r="P37" s="5" t="str">
        <f>L45</f>
        <v>S_gas_co2_start = 0.0171203,</v>
      </c>
      <c r="R37" s="13" t="str">
        <f t="shared" si="5"/>
        <v>digester.S_gas_co2_start = 0.0171203,</v>
      </c>
    </row>
    <row r="38" spans="1:18" x14ac:dyDescent="0.3">
      <c r="A38" s="8" t="s">
        <v>100</v>
      </c>
      <c r="B38" s="2" t="str">
        <f t="shared" si="13"/>
        <v>0.0156</v>
      </c>
      <c r="D38" t="s">
        <v>1</v>
      </c>
      <c r="E38" t="s">
        <v>36</v>
      </c>
      <c r="F38" t="s">
        <v>43</v>
      </c>
      <c r="G38" t="s">
        <v>4</v>
      </c>
      <c r="H38" t="str">
        <f t="shared" si="10"/>
        <v>0.0156;</v>
      </c>
      <c r="J38" s="5" t="str">
        <f t="shared" si="0"/>
        <v>parameter Types.MolarDensity_M S_an_start = 0.0156;</v>
      </c>
      <c r="L38" t="str">
        <f t="shared" si="12"/>
        <v>S_an_start = 0.0156,</v>
      </c>
      <c r="P38" s="5" t="str">
        <f>L46</f>
        <v>S_gas_nh3_start = 3.28406e-06,</v>
      </c>
      <c r="R38" s="13" t="str">
        <f t="shared" si="5"/>
        <v>digester.S_gas_nh3_start = 3.28406e-06,</v>
      </c>
    </row>
    <row r="39" spans="1:18" x14ac:dyDescent="0.3">
      <c r="A39" s="8" t="s">
        <v>101</v>
      </c>
      <c r="B39" s="2" t="str">
        <f t="shared" si="13"/>
        <v>14.1091</v>
      </c>
      <c r="D39" t="s">
        <v>1</v>
      </c>
      <c r="E39" t="s">
        <v>2</v>
      </c>
      <c r="F39" t="s">
        <v>44</v>
      </c>
      <c r="G39" t="s">
        <v>4</v>
      </c>
      <c r="H39" t="str">
        <f t="shared" si="10"/>
        <v>14.1091;</v>
      </c>
      <c r="J39" s="5" t="str">
        <f t="shared" si="0"/>
        <v>parameter SI.MassConcentration ash_start = 14.1091;</v>
      </c>
      <c r="L39" t="str">
        <f t="shared" si="12"/>
        <v>ash_start = 14.1091,</v>
      </c>
      <c r="P39" s="5" t="str">
        <f>L48</f>
        <v>X_acp_start = 8.8402e-12,</v>
      </c>
      <c r="R39" s="13" t="str">
        <f t="shared" si="5"/>
        <v>digester.X_acp_start = 8.8402e-12,</v>
      </c>
    </row>
    <row r="40" spans="1:18" x14ac:dyDescent="0.3">
      <c r="A40" s="8" t="s">
        <v>102</v>
      </c>
      <c r="B40" s="2" t="str">
        <f t="shared" si="13"/>
        <v>13.3149</v>
      </c>
      <c r="D40" t="s">
        <v>1</v>
      </c>
      <c r="E40" t="s">
        <v>2</v>
      </c>
      <c r="F40" t="s">
        <v>45</v>
      </c>
      <c r="G40" t="s">
        <v>4</v>
      </c>
      <c r="H40" t="str">
        <f t="shared" si="10"/>
        <v>13.3149;</v>
      </c>
      <c r="J40" s="5" t="str">
        <f t="shared" si="0"/>
        <v>parameter SI.MassConcentration X_lig_start = 13.3149;</v>
      </c>
      <c r="L40" t="str">
        <f t="shared" si="12"/>
        <v>X_lig_start = 13.3149,</v>
      </c>
      <c r="P40" s="5" t="str">
        <f>L49</f>
        <v>X_stru_start = 0.0100851,</v>
      </c>
      <c r="R40" s="13" t="str">
        <f t="shared" si="5"/>
        <v>digester.X_stru_start = 0.0100851,</v>
      </c>
    </row>
    <row r="41" spans="1:18" x14ac:dyDescent="0.3">
      <c r="A41" s="8" t="s">
        <v>103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0.00543034,</v>
      </c>
      <c r="R41" s="13" t="str">
        <f t="shared" si="5"/>
        <v>digester.X_ccm_start = 0.00543034,</v>
      </c>
    </row>
    <row r="42" spans="1:18" ht="15" thickBot="1" x14ac:dyDescent="0.35">
      <c r="A42" s="8" t="s">
        <v>104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1.40193e-9</v>
      </c>
      <c r="R42" s="13" t="str">
        <f t="shared" si="5"/>
        <v>digester.X_mag_start = 1.40193e-9</v>
      </c>
    </row>
    <row r="43" spans="1:18" ht="15" thickBot="1" x14ac:dyDescent="0.35">
      <c r="A43" s="8" t="s">
        <v>105</v>
      </c>
      <c r="B43" s="2" t="str">
        <f>A38</f>
        <v>5.43453e-06</v>
      </c>
      <c r="D43" t="s">
        <v>1</v>
      </c>
      <c r="E43" t="s">
        <v>2</v>
      </c>
      <c r="F43" t="s">
        <v>49</v>
      </c>
      <c r="G43" t="s">
        <v>4</v>
      </c>
      <c r="H43" t="str">
        <f t="shared" si="10"/>
        <v>5.43453e-06;</v>
      </c>
      <c r="J43" s="5" t="str">
        <f t="shared" si="0"/>
        <v>parameter SI.MassConcentration S_gas_h2_start = 5.43453e-06;</v>
      </c>
      <c r="L43" t="str">
        <f>SUBSTITUTE(_xlfn.CONCAT(F43," ",G43," ",H43),";",",")</f>
        <v>S_gas_h2_start = 5.43453e-06,</v>
      </c>
      <c r="P43" s="3" t="s">
        <v>62</v>
      </c>
      <c r="R43" s="13"/>
    </row>
    <row r="44" spans="1:18" ht="16.2" thickBot="1" x14ac:dyDescent="0.35">
      <c r="A44" s="8" t="s">
        <v>106</v>
      </c>
      <c r="B44" s="2" t="str">
        <f t="shared" ref="B44:B46" si="14">A39</f>
        <v>1.23292</v>
      </c>
      <c r="D44" t="s">
        <v>1</v>
      </c>
      <c r="E44" t="s">
        <v>2</v>
      </c>
      <c r="F44" t="s">
        <v>50</v>
      </c>
      <c r="G44" t="s">
        <v>4</v>
      </c>
      <c r="H44" t="str">
        <f t="shared" si="10"/>
        <v>1.23292;</v>
      </c>
      <c r="J44" s="5" t="str">
        <f t="shared" si="0"/>
        <v>parameter SI.MassConcentration S_gas_ch4_start = 1.23292;</v>
      </c>
      <c r="L44" t="str">
        <f>SUBSTITUTE(_xlfn.CONCAT(F44," ",G44," ",H44),";",",")</f>
        <v>S_gas_ch4_start = 1.23292,</v>
      </c>
      <c r="P44" s="11" t="str">
        <f>L53</f>
        <v>xi_start = 0.0228636,</v>
      </c>
      <c r="R44" s="14" t="str">
        <f>_xlfn.CONCAT("limPID.",P44)</f>
        <v>limPID.xi_start = 0.0228636,</v>
      </c>
    </row>
    <row r="45" spans="1:18" ht="15" thickBot="1" x14ac:dyDescent="0.35">
      <c r="A45" s="9" t="s">
        <v>107</v>
      </c>
      <c r="B45" s="2" t="str">
        <f t="shared" si="14"/>
        <v>0.0171203</v>
      </c>
      <c r="D45" t="s">
        <v>1</v>
      </c>
      <c r="E45" t="s">
        <v>36</v>
      </c>
      <c r="F45" t="s">
        <v>51</v>
      </c>
      <c r="G45" t="s">
        <v>4</v>
      </c>
      <c r="H45" t="str">
        <f t="shared" si="10"/>
        <v>0.0171203;</v>
      </c>
      <c r="J45" s="5" t="str">
        <f t="shared" si="0"/>
        <v>parameter Types.MolarDensity_M S_gas_co2_start = 0.0171203;</v>
      </c>
      <c r="L45" t="str">
        <f>SUBSTITUTE(_xlfn.CONCAT(F45," ",G45," ",H45),";",",")</f>
        <v>S_gas_co2_start = 0.0171203,</v>
      </c>
    </row>
    <row r="46" spans="1:18" ht="15" thickBot="1" x14ac:dyDescent="0.35">
      <c r="A46" s="3" t="s">
        <v>62</v>
      </c>
      <c r="B46" s="2" t="str">
        <f t="shared" si="14"/>
        <v>3.28406e-06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0"/>
        <v>3.28406e-06;</v>
      </c>
      <c r="J46" s="5" t="str">
        <f t="shared" si="0"/>
        <v>parameter Types.MolarDensity_M S_gas_nh3_start = 3.28406e-06;</v>
      </c>
      <c r="L46" t="str">
        <f>SUBSTITUTE(_xlfn.CONCAT(F46," ",G46," ",H46),";",",")</f>
        <v>S_gas_nh3_start = 3.28406e-06,</v>
      </c>
    </row>
    <row r="47" spans="1:18" ht="15" thickBot="1" x14ac:dyDescent="0.35">
      <c r="A47" s="10">
        <v>2.2863600000000001E-2</v>
      </c>
      <c r="J47" s="5" t="str">
        <f t="shared" si="0"/>
        <v xml:space="preserve">    </v>
      </c>
    </row>
    <row r="48" spans="1:18" x14ac:dyDescent="0.3">
      <c r="B48" s="2" t="str">
        <f>A42</f>
        <v>8.8402e-12</v>
      </c>
      <c r="D48" t="s">
        <v>1</v>
      </c>
      <c r="E48" t="s">
        <v>36</v>
      </c>
      <c r="F48" t="s">
        <v>53</v>
      </c>
      <c r="G48" t="s">
        <v>4</v>
      </c>
      <c r="H48" t="str">
        <f t="shared" si="10"/>
        <v>8.8402e-12;</v>
      </c>
      <c r="J48" s="5" t="str">
        <f t="shared" si="0"/>
        <v>parameter Types.MolarDensity_M X_acp_start = 8.8402e-12;</v>
      </c>
      <c r="L48" t="str">
        <f>SUBSTITUTE(_xlfn.CONCAT(F48," ",G48," ",H48),";",",")</f>
        <v>X_acp_start = 8.8402e-12,</v>
      </c>
    </row>
    <row r="49" spans="2:12" x14ac:dyDescent="0.3">
      <c r="B49" s="2" t="str">
        <f t="shared" ref="B49:B51" si="15">A43</f>
        <v>0.0100851</v>
      </c>
      <c r="D49" t="s">
        <v>1</v>
      </c>
      <c r="E49" t="s">
        <v>36</v>
      </c>
      <c r="F49" t="s">
        <v>54</v>
      </c>
      <c r="G49" t="s">
        <v>4</v>
      </c>
      <c r="H49" t="str">
        <f t="shared" si="10"/>
        <v>0.0100851;</v>
      </c>
      <c r="J49" s="5" t="str">
        <f t="shared" si="0"/>
        <v>parameter Types.MolarDensity_M X_stru_start = 0.0100851;</v>
      </c>
      <c r="L49" t="str">
        <f>SUBSTITUTE(_xlfn.CONCAT(F49," ",G49," ",H49),";",",")</f>
        <v>X_stru_start = 0.0100851,</v>
      </c>
    </row>
    <row r="50" spans="2:12" x14ac:dyDescent="0.3">
      <c r="B50" s="2" t="str">
        <f t="shared" si="15"/>
        <v>0.00543034</v>
      </c>
      <c r="D50" t="s">
        <v>1</v>
      </c>
      <c r="E50" t="s">
        <v>36</v>
      </c>
      <c r="F50" t="s">
        <v>55</v>
      </c>
      <c r="G50" t="s">
        <v>4</v>
      </c>
      <c r="H50" t="str">
        <f t="shared" si="10"/>
        <v>0.00543034;</v>
      </c>
      <c r="J50" s="5" t="str">
        <f t="shared" si="0"/>
        <v>parameter Types.MolarDensity_M X_ccm_start = 0.00543034;</v>
      </c>
      <c r="L50" t="str">
        <f>SUBSTITUTE(_xlfn.CONCAT(F50," ",G50," ",H50),";",",")</f>
        <v>X_ccm_start = 0.00543034,</v>
      </c>
    </row>
    <row r="51" spans="2:12" ht="15" thickBot="1" x14ac:dyDescent="0.35">
      <c r="B51" s="2" t="str">
        <f t="shared" si="15"/>
        <v>1.40193e-9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0"/>
        <v>1.40193e-9;</v>
      </c>
      <c r="J51" s="6" t="str">
        <f t="shared" si="0"/>
        <v>parameter Types.MolarDensity_M X_mag_start = 1.40193e-9;</v>
      </c>
      <c r="L51" t="str">
        <f>SUBSTITUTE(_xlfn.CONCAT(F51," ",G51," ",H51),";","")</f>
        <v>X_mag_start = 1.40193e-9</v>
      </c>
    </row>
    <row r="53" spans="2:12" ht="15.6" x14ac:dyDescent="0.3">
      <c r="L53" s="1" t="str">
        <f>_xlfn.CONCAT("xi_start ="," ",A47,",")</f>
        <v>xi_start = 0.0228636,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4E93-BE32-4900-A7CE-05936419A308}">
  <dimension ref="A1:T53"/>
  <sheetViews>
    <sheetView zoomScale="80" zoomScaleNormal="80" workbookViewId="0">
      <selection activeCell="T44" sqref="T44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 t="s">
        <v>108</v>
      </c>
      <c r="B3" s="2" t="str">
        <f>A3</f>
        <v>3.33579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3.33579;</v>
      </c>
      <c r="J3" s="5" t="str">
        <f t="shared" ref="J3:J51" si="0">_xlfn.CONCAT(D3," ",E3," ",F3," ",G3," ",H3,)</f>
        <v>parameter SI.MassConcentration X_su_start = 3.33579;</v>
      </c>
      <c r="L3" t="str">
        <f t="shared" ref="L3:L9" si="1">SUBSTITUTE(_xlfn.CONCAT(F3," ",G3," ",H3),";",",")</f>
        <v>X_su_start = 3.33579,</v>
      </c>
      <c r="P3" s="4" t="str">
        <f>L3</f>
        <v>X_su_start = 3.33579,</v>
      </c>
      <c r="R3" s="12" t="str">
        <f>_xlfn.CONCAT("digester.",P3)</f>
        <v>digester.X_su_start = 3.33579,</v>
      </c>
      <c r="T3" t="str">
        <f>_xlfn.CONCAT("uit.",R3)</f>
        <v>uit.digester.X_su_start = 3.33579,</v>
      </c>
    </row>
    <row r="4" spans="1:20" x14ac:dyDescent="0.3">
      <c r="A4" s="8" t="s">
        <v>109</v>
      </c>
      <c r="B4" s="2" t="str">
        <f t="shared" ref="B4:B9" si="2">A4</f>
        <v>0.617263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0.617263;</v>
      </c>
      <c r="J4" s="5" t="str">
        <f t="shared" si="0"/>
        <v>parameter SI.MassConcentration X_aa_start = 0.617263;</v>
      </c>
      <c r="L4" t="str">
        <f t="shared" si="1"/>
        <v>X_aa_start = 0.617263,</v>
      </c>
      <c r="P4" s="5" t="str">
        <f t="shared" ref="P4:P9" si="4">L4</f>
        <v>X_aa_start = 0.617263,</v>
      </c>
      <c r="R4" s="13" t="str">
        <f t="shared" ref="R4:R42" si="5">_xlfn.CONCAT("digester.",P4)</f>
        <v>digester.X_aa_start = 0.617263,</v>
      </c>
      <c r="T4" t="str">
        <f t="shared" ref="T4:T44" si="6">_xlfn.CONCAT("uit.",R4)</f>
        <v>uit.digester.X_aa_start = 0.617263,</v>
      </c>
    </row>
    <row r="5" spans="1:20" x14ac:dyDescent="0.3">
      <c r="A5" s="8" t="s">
        <v>110</v>
      </c>
      <c r="B5" s="2" t="str">
        <f t="shared" si="2"/>
        <v>0.340707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0.340707;</v>
      </c>
      <c r="J5" s="5" t="str">
        <f t="shared" si="0"/>
        <v>parameter SI.MassConcentration X_fa_start = 0.340707;</v>
      </c>
      <c r="L5" t="str">
        <f t="shared" si="1"/>
        <v>X_fa_start = 0.340707,</v>
      </c>
      <c r="P5" s="5" t="str">
        <f t="shared" si="4"/>
        <v>X_fa_start = 0.340707,</v>
      </c>
      <c r="R5" s="13" t="str">
        <f t="shared" si="5"/>
        <v>digester.X_fa_start = 0.340707,</v>
      </c>
      <c r="T5" t="str">
        <f t="shared" si="6"/>
        <v>uit.digester.X_fa_start = 0.340707,</v>
      </c>
    </row>
    <row r="6" spans="1:20" x14ac:dyDescent="0.3">
      <c r="A6" s="8" t="s">
        <v>111</v>
      </c>
      <c r="B6" s="2" t="str">
        <f t="shared" si="2"/>
        <v>0.588298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0.588298;</v>
      </c>
      <c r="J6" s="5" t="str">
        <f t="shared" si="0"/>
        <v>parameter SI.MassConcentration X_c4_start = 0.588298;</v>
      </c>
      <c r="L6" t="str">
        <f t="shared" si="1"/>
        <v>X_c4_start = 0.588298,</v>
      </c>
      <c r="P6" s="5" t="str">
        <f t="shared" si="4"/>
        <v>X_c4_start = 0.588298,</v>
      </c>
      <c r="R6" s="13" t="str">
        <f t="shared" si="5"/>
        <v>digester.X_c4_start = 0.588298,</v>
      </c>
      <c r="T6" t="str">
        <f t="shared" si="6"/>
        <v>uit.digester.X_c4_start = 0.588298,</v>
      </c>
    </row>
    <row r="7" spans="1:20" x14ac:dyDescent="0.3">
      <c r="A7" s="8" t="s">
        <v>112</v>
      </c>
      <c r="B7" s="2" t="str">
        <f t="shared" si="2"/>
        <v>0.394443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0.394443;</v>
      </c>
      <c r="J7" s="5" t="str">
        <f t="shared" si="0"/>
        <v>parameter SI.MassConcentration X_pro_start = 0.394443;</v>
      </c>
      <c r="L7" t="str">
        <f t="shared" si="1"/>
        <v>X_pro_start = 0.394443,</v>
      </c>
      <c r="P7" s="5" t="str">
        <f t="shared" si="4"/>
        <v>X_pro_start = 0.394443,</v>
      </c>
      <c r="R7" s="13" t="str">
        <f t="shared" si="5"/>
        <v>digester.X_pro_start = 0.394443,</v>
      </c>
      <c r="T7" t="str">
        <f t="shared" si="6"/>
        <v>uit.digester.X_pro_start = 0.394443,</v>
      </c>
    </row>
    <row r="8" spans="1:20" x14ac:dyDescent="0.3">
      <c r="A8" s="8" t="s">
        <v>113</v>
      </c>
      <c r="B8" s="2" t="str">
        <f t="shared" si="2"/>
        <v>1.58728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1.58728;</v>
      </c>
      <c r="J8" s="5" t="str">
        <f t="shared" si="0"/>
        <v>parameter SI.MassConcentration X_ac_start = 1.58728;</v>
      </c>
      <c r="L8" t="str">
        <f t="shared" si="1"/>
        <v>X_ac_start = 1.58728,</v>
      </c>
      <c r="P8" s="5" t="str">
        <f t="shared" si="4"/>
        <v>X_ac_start = 1.58728,</v>
      </c>
      <c r="R8" s="13" t="str">
        <f t="shared" si="5"/>
        <v>digester.X_ac_start = 1.58728,</v>
      </c>
      <c r="T8" t="str">
        <f t="shared" si="6"/>
        <v>uit.digester.X_ac_start = 1.58728,</v>
      </c>
    </row>
    <row r="9" spans="1:20" x14ac:dyDescent="0.3">
      <c r="A9" s="8" t="s">
        <v>114</v>
      </c>
      <c r="B9" s="2" t="str">
        <f t="shared" si="2"/>
        <v>0.76925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0.76925;</v>
      </c>
      <c r="J9" s="5" t="str">
        <f t="shared" si="0"/>
        <v>parameter SI.MassConcentration X_h2_start = 0.76925;</v>
      </c>
      <c r="L9" t="str">
        <f t="shared" si="1"/>
        <v>X_h2_start = 0.76925,</v>
      </c>
      <c r="P9" s="5" t="str">
        <f t="shared" si="4"/>
        <v>X_h2_start = 0.76925,</v>
      </c>
      <c r="R9" s="13" t="str">
        <f t="shared" si="5"/>
        <v>digester.X_h2_start = 0.76925,</v>
      </c>
      <c r="T9" t="str">
        <f t="shared" si="6"/>
        <v>uit.digester.X_h2_start = 0.76925,</v>
      </c>
    </row>
    <row r="10" spans="1:20" x14ac:dyDescent="0.3">
      <c r="A10" s="8" t="s">
        <v>47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0,</v>
      </c>
      <c r="R10" s="13" t="str">
        <f t="shared" si="5"/>
        <v>digester.X_c_start = 0,</v>
      </c>
      <c r="T10" t="str">
        <f t="shared" si="6"/>
        <v>uit.digester.X_c_start = 0,</v>
      </c>
    </row>
    <row r="11" spans="1:20" x14ac:dyDescent="0.3">
      <c r="A11" s="8" t="s">
        <v>115</v>
      </c>
      <c r="B11" s="2" t="str">
        <f>A10</f>
        <v>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0;</v>
      </c>
      <c r="J11" s="5" t="str">
        <f t="shared" si="0"/>
        <v>parameter SI.MassConcentration X_c_start = 0;</v>
      </c>
      <c r="L11" t="str">
        <f>SUBSTITUTE(_xlfn.CONCAT(F11," ",G11," ",H11),";",",")</f>
        <v>X_c_start = 0,</v>
      </c>
      <c r="P11" s="5" t="str">
        <f t="shared" si="7"/>
        <v>X_i_start = 38.7348,</v>
      </c>
      <c r="R11" s="13" t="str">
        <f t="shared" si="5"/>
        <v>digester.X_i_start = 38.7348,</v>
      </c>
      <c r="T11" t="str">
        <f t="shared" si="6"/>
        <v>uit.digester.X_i_start = 38.7348,</v>
      </c>
    </row>
    <row r="12" spans="1:20" x14ac:dyDescent="0.3">
      <c r="A12" s="8" t="s">
        <v>116</v>
      </c>
      <c r="B12" s="2" t="str">
        <f t="shared" ref="B12:B27" si="8">A11</f>
        <v>38.7348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38.7348;</v>
      </c>
      <c r="J12" s="5" t="str">
        <f t="shared" si="0"/>
        <v>parameter SI.MassConcentration X_i_start = 38.7348;</v>
      </c>
      <c r="L12" t="str">
        <f>SUBSTITUTE(_xlfn.CONCAT(F12," ",G12," ",H12),";",",")</f>
        <v>X_i_start = 38.7348,</v>
      </c>
      <c r="P12" s="5" t="str">
        <f t="shared" si="7"/>
        <v>X_ch_start = {1.04817,0.899856,13.1045},</v>
      </c>
      <c r="R12" s="13" t="str">
        <f t="shared" si="5"/>
        <v>digester.X_ch_start = {1.04817,0.899856,13.1045},</v>
      </c>
      <c r="T12" t="str">
        <f t="shared" si="6"/>
        <v>uit.digester.X_ch_start = {1.04817,0.899856,13.1045},</v>
      </c>
    </row>
    <row r="13" spans="1:20" x14ac:dyDescent="0.3">
      <c r="A13" s="8" t="s">
        <v>117</v>
      </c>
      <c r="B13" s="2" t="str">
        <f t="shared" si="8"/>
        <v>1.04817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{1.04817,0.899856,13.1045};</v>
      </c>
      <c r="J13" s="5" t="str">
        <f t="shared" si="0"/>
        <v>parameter SI.MassConcentration X_ch_start[3] = {1.04817,0.899856,13.1045};</v>
      </c>
      <c r="L13" t="str">
        <f>SUBSTITUTE(SUBSTITUTE(_xlfn.CONCAT(F13," ",G13," ",H13),";",","),"[3]","")</f>
        <v>X_ch_start = {1.04817,0.899856,13.1045},</v>
      </c>
      <c r="P13" s="5" t="str">
        <f t="shared" si="7"/>
        <v>X_pr_start = {0.150361,0.959917},</v>
      </c>
      <c r="R13" s="13" t="str">
        <f t="shared" si="5"/>
        <v>digester.X_pr_start = {0.150361,0.959917},</v>
      </c>
      <c r="T13" t="str">
        <f t="shared" si="6"/>
        <v>uit.digester.X_pr_start = {0.150361,0.959917},</v>
      </c>
    </row>
    <row r="14" spans="1:20" x14ac:dyDescent="0.3">
      <c r="A14" s="8" t="s">
        <v>118</v>
      </c>
      <c r="B14" s="2" t="str">
        <f t="shared" si="8"/>
        <v>0.899856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{0.150361,0.959917};</v>
      </c>
      <c r="J14" s="5" t="str">
        <f t="shared" si="0"/>
        <v>parameter SI.MassConcentration X_pr_start[2] = {0.150361,0.959917};</v>
      </c>
      <c r="L14" t="str">
        <f>SUBSTITUTE(SUBSTITUTE(_xlfn.CONCAT(F14," ",G14," ",H14),";",","),"[2]","")</f>
        <v>X_pr_start = {0.150361,0.959917},</v>
      </c>
      <c r="P14" s="5" t="str">
        <f t="shared" si="7"/>
        <v>X_li_start = 0.834207,</v>
      </c>
      <c r="R14" s="13" t="str">
        <f t="shared" si="5"/>
        <v>digester.X_li_start = 0.834207,</v>
      </c>
      <c r="T14" t="str">
        <f t="shared" si="6"/>
        <v>uit.digester.X_li_start = 0.834207,</v>
      </c>
    </row>
    <row r="15" spans="1:20" x14ac:dyDescent="0.3">
      <c r="A15" s="8" t="s">
        <v>119</v>
      </c>
      <c r="B15" s="2" t="str">
        <f t="shared" si="8"/>
        <v>13.1045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0.834207;</v>
      </c>
      <c r="J15" s="5" t="str">
        <f t="shared" si="0"/>
        <v>parameter SI.MassConcentration X_li_start = 0.834207;</v>
      </c>
      <c r="L15" t="str">
        <f>SUBSTITUTE(_xlfn.CONCAT(F15," ",G15," ",H15),";",",")</f>
        <v>X_li_start = 0.834207,</v>
      </c>
      <c r="P15" s="5" t="str">
        <f t="shared" si="7"/>
        <v>X_p_start = 0.951686,</v>
      </c>
      <c r="R15" s="13" t="str">
        <f t="shared" si="5"/>
        <v>digester.X_p_start = 0.951686,</v>
      </c>
      <c r="T15" t="str">
        <f t="shared" si="6"/>
        <v>uit.digester.X_p_start = 0.951686,</v>
      </c>
    </row>
    <row r="16" spans="1:20" x14ac:dyDescent="0.3">
      <c r="A16" s="8" t="s">
        <v>120</v>
      </c>
      <c r="B16" s="2" t="str">
        <f t="shared" si="8"/>
        <v>0.150361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0.951686;</v>
      </c>
      <c r="J16" s="5" t="str">
        <f t="shared" si="0"/>
        <v>parameter SI.MassConcentration X_p_start = 0.951686;</v>
      </c>
      <c r="L16" t="str">
        <f>SUBSTITUTE(_xlfn.CONCAT(F16," ",G16," ",H16),";",",")</f>
        <v>X_p_start = 0.951686,</v>
      </c>
      <c r="P16" s="5" t="str">
        <f t="shared" ref="P16:P23" si="9">L20</f>
        <v>S_i_start = 0.237922,</v>
      </c>
      <c r="R16" s="13" t="str">
        <f t="shared" si="5"/>
        <v>digester.S_i_start = 0.237922,</v>
      </c>
      <c r="T16" t="str">
        <f t="shared" si="6"/>
        <v>uit.digester.S_i_start = 0.237922,</v>
      </c>
    </row>
    <row r="17" spans="1:20" x14ac:dyDescent="0.3">
      <c r="A17" s="8" t="s">
        <v>121</v>
      </c>
      <c r="B17" s="2" t="str">
        <f t="shared" si="8"/>
        <v>0.959917</v>
      </c>
      <c r="D17" t="s">
        <v>19</v>
      </c>
      <c r="J17" s="5" t="str">
        <f t="shared" si="0"/>
        <v xml:space="preserve">//    </v>
      </c>
      <c r="P17" s="5" t="str">
        <f t="shared" si="9"/>
        <v>S_su_start = 0.0246962,</v>
      </c>
      <c r="R17" s="13" t="str">
        <f t="shared" si="5"/>
        <v>digester.S_su_start = 0.0246962,</v>
      </c>
      <c r="T17" t="str">
        <f t="shared" si="6"/>
        <v>uit.digester.S_su_start = 0.0246962,</v>
      </c>
    </row>
    <row r="18" spans="1:20" x14ac:dyDescent="0.3">
      <c r="A18" s="8" t="s">
        <v>122</v>
      </c>
      <c r="B18" s="2" t="str">
        <f t="shared" si="8"/>
        <v>0.834207</v>
      </c>
      <c r="D18" t="s">
        <v>19</v>
      </c>
      <c r="J18" s="5" t="str">
        <f t="shared" si="0"/>
        <v xml:space="preserve">//    </v>
      </c>
      <c r="P18" s="5" t="str">
        <f t="shared" si="9"/>
        <v>S_aa_start = 0.0260383,</v>
      </c>
      <c r="R18" s="13" t="str">
        <f t="shared" si="5"/>
        <v>digester.S_aa_start = 0.0260383,</v>
      </c>
      <c r="T18" t="str">
        <f t="shared" si="6"/>
        <v>uit.digester.S_aa_start = 0.0260383,</v>
      </c>
    </row>
    <row r="19" spans="1:20" x14ac:dyDescent="0.3">
      <c r="A19" s="8" t="s">
        <v>123</v>
      </c>
      <c r="B19" s="2" t="str">
        <f t="shared" si="8"/>
        <v>0.951686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0.0445159,</v>
      </c>
      <c r="R19" s="13" t="str">
        <f t="shared" si="5"/>
        <v>digester.S_fa_start = 0.0445159,</v>
      </c>
      <c r="T19" t="str">
        <f t="shared" si="6"/>
        <v>uit.digester.S_fa_start = 0.0445159,</v>
      </c>
    </row>
    <row r="20" spans="1:20" x14ac:dyDescent="0.3">
      <c r="A20" s="8" t="s">
        <v>124</v>
      </c>
      <c r="B20" s="2" t="str">
        <f t="shared" si="8"/>
        <v>0.237922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0.237922;</v>
      </c>
      <c r="J20" s="5" t="str">
        <f t="shared" si="0"/>
        <v>parameter SI.MassConcentration S_i_start = 0.237922;</v>
      </c>
      <c r="L20" t="str">
        <f t="shared" ref="L20:L27" si="10">SUBSTITUTE(_xlfn.CONCAT(F20," ",G20," ",H20),";",",")</f>
        <v>S_i_start = 0.237922,</v>
      </c>
      <c r="P20" s="5" t="str">
        <f t="shared" si="9"/>
        <v>S_va_start = 0.00337488,</v>
      </c>
      <c r="R20" s="13" t="str">
        <f t="shared" si="5"/>
        <v>digester.S_va_start = 0.00337488,</v>
      </c>
      <c r="T20" t="str">
        <f t="shared" si="6"/>
        <v>uit.digester.S_va_start = 0.00337488,</v>
      </c>
    </row>
    <row r="21" spans="1:20" x14ac:dyDescent="0.3">
      <c r="A21" s="8" t="s">
        <v>125</v>
      </c>
      <c r="B21" s="2" t="str">
        <f t="shared" si="8"/>
        <v>0.0246962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0.0246962;</v>
      </c>
      <c r="J21" s="5" t="str">
        <f t="shared" si="0"/>
        <v>parameter SI.MassConcentration S_su_start = 0.0246962;</v>
      </c>
      <c r="L21" t="str">
        <f t="shared" si="10"/>
        <v>S_su_start = 0.0246962,</v>
      </c>
      <c r="P21" s="5" t="str">
        <f t="shared" si="9"/>
        <v>S_bu_start = 0.00648072,</v>
      </c>
      <c r="R21" s="13" t="str">
        <f t="shared" si="5"/>
        <v>digester.S_bu_start = 0.00648072,</v>
      </c>
      <c r="T21" t="str">
        <f t="shared" si="6"/>
        <v>uit.digester.S_bu_start = 0.00648072,</v>
      </c>
    </row>
    <row r="22" spans="1:20" x14ac:dyDescent="0.3">
      <c r="A22" s="8" t="s">
        <v>126</v>
      </c>
      <c r="B22" s="2" t="str">
        <f t="shared" si="8"/>
        <v>0.0260383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0.0260383;</v>
      </c>
      <c r="J22" s="5" t="str">
        <f t="shared" si="0"/>
        <v>parameter SI.MassConcentration S_aa_start = 0.0260383;</v>
      </c>
      <c r="L22" t="str">
        <f t="shared" si="10"/>
        <v>S_aa_start = 0.0260383,</v>
      </c>
      <c r="P22" s="5" t="str">
        <f t="shared" si="9"/>
        <v>S_pro_start = 0.0509667,</v>
      </c>
      <c r="R22" s="13" t="str">
        <f t="shared" si="5"/>
        <v>digester.S_pro_start = 0.0509667,</v>
      </c>
      <c r="T22" t="str">
        <f t="shared" si="6"/>
        <v>uit.digester.S_pro_start = 0.0509667,</v>
      </c>
    </row>
    <row r="23" spans="1:20" x14ac:dyDescent="0.3">
      <c r="A23" s="8" t="s">
        <v>127</v>
      </c>
      <c r="B23" s="2" t="str">
        <f t="shared" si="8"/>
        <v>0.0445159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0.0445159;</v>
      </c>
      <c r="J23" s="5" t="str">
        <f t="shared" si="0"/>
        <v>parameter SI.MassConcentration S_fa_start = 0.0445159;</v>
      </c>
      <c r="L23" t="str">
        <f t="shared" si="10"/>
        <v>S_fa_start = 0.0445159,</v>
      </c>
      <c r="P23" s="5" t="str">
        <f t="shared" si="9"/>
        <v>S_ac_start = 0.221278,</v>
      </c>
      <c r="R23" s="13" t="str">
        <f t="shared" si="5"/>
        <v>digester.S_ac_start = 0.221278,</v>
      </c>
      <c r="T23" t="str">
        <f t="shared" si="6"/>
        <v>uit.digester.S_ac_start = 0.221278,</v>
      </c>
    </row>
    <row r="24" spans="1:20" x14ac:dyDescent="0.3">
      <c r="A24" s="8" t="s">
        <v>128</v>
      </c>
      <c r="B24" s="2" t="str">
        <f t="shared" si="8"/>
        <v>0.00337488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0.00337488;</v>
      </c>
      <c r="J24" s="5" t="str">
        <f t="shared" si="0"/>
        <v>parameter SI.MassConcentration S_va_start = 0.00337488;</v>
      </c>
      <c r="L24" t="str">
        <f t="shared" si="10"/>
        <v>S_va_start = 0.00337488,</v>
      </c>
      <c r="P24" s="5" t="str">
        <f>L29</f>
        <v>S_h2_start = 6.88586e-07,</v>
      </c>
      <c r="R24" s="13" t="str">
        <f t="shared" si="5"/>
        <v>digester.S_h2_start = 6.88586e-07,</v>
      </c>
      <c r="T24" t="str">
        <f t="shared" si="6"/>
        <v>uit.digester.S_h2_start = 6.88586e-07,</v>
      </c>
    </row>
    <row r="25" spans="1:20" x14ac:dyDescent="0.3">
      <c r="A25" s="8" t="s">
        <v>129</v>
      </c>
      <c r="B25" s="2" t="str">
        <f t="shared" si="8"/>
        <v>0.00648072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0.00648072;</v>
      </c>
      <c r="J25" s="5" t="str">
        <f t="shared" si="0"/>
        <v>parameter SI.MassConcentration S_bu_start = 0.00648072;</v>
      </c>
      <c r="L25" t="str">
        <f t="shared" si="10"/>
        <v>S_bu_start = 0.00648072,</v>
      </c>
      <c r="P25" s="5" t="str">
        <f>L30</f>
        <v>S_ch4_start = 0.328428,</v>
      </c>
      <c r="R25" s="13" t="str">
        <f t="shared" si="5"/>
        <v>digester.S_ch4_start = 0.328428,</v>
      </c>
      <c r="T25" t="str">
        <f t="shared" si="6"/>
        <v>uit.digester.S_ch4_start = 0.328428,</v>
      </c>
    </row>
    <row r="26" spans="1:20" x14ac:dyDescent="0.3">
      <c r="A26" s="8" t="s">
        <v>130</v>
      </c>
      <c r="B26" s="2" t="str">
        <f t="shared" si="8"/>
        <v>0.0509667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0.0509667;</v>
      </c>
      <c r="J26" s="5" t="str">
        <f t="shared" si="0"/>
        <v>parameter SI.MassConcentration S_pro_start = 0.0509667;</v>
      </c>
      <c r="L26" t="str">
        <f t="shared" si="10"/>
        <v>S_pro_start = 0.0509667,</v>
      </c>
      <c r="P26" s="5" t="str">
        <f t="shared" ref="P26:P34" si="12">L32</f>
        <v>S_ic_start = 0.244466,</v>
      </c>
      <c r="R26" s="13" t="str">
        <f t="shared" si="5"/>
        <v>digester.S_ic_start = 0.244466,</v>
      </c>
      <c r="T26" t="str">
        <f t="shared" si="6"/>
        <v>uit.digester.S_ic_start = 0.244466,</v>
      </c>
    </row>
    <row r="27" spans="1:20" x14ac:dyDescent="0.3">
      <c r="A27" s="8" t="s">
        <v>131</v>
      </c>
      <c r="B27" s="2" t="str">
        <f t="shared" si="8"/>
        <v>0.221278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0.221278;</v>
      </c>
      <c r="J27" s="5" t="str">
        <f t="shared" si="0"/>
        <v>parameter SI.MassConcentration S_ac_start = 0.221278;</v>
      </c>
      <c r="L27" t="str">
        <f t="shared" si="10"/>
        <v>S_ac_start = 0.221278,</v>
      </c>
      <c r="P27" s="5" t="str">
        <f t="shared" si="12"/>
        <v>S_in_start = 0.152886,</v>
      </c>
      <c r="R27" s="13" t="str">
        <f t="shared" si="5"/>
        <v>digester.S_in_start = 0.152886,</v>
      </c>
      <c r="T27" t="str">
        <f t="shared" si="6"/>
        <v>uit.digester.S_in_start = 0.152886,</v>
      </c>
    </row>
    <row r="28" spans="1:20" x14ac:dyDescent="0.3">
      <c r="A28" s="8" t="s">
        <v>132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0.00385423,</v>
      </c>
      <c r="R28" s="13" t="str">
        <f t="shared" si="5"/>
        <v>digester.S_ip_start = 0.00385423,</v>
      </c>
      <c r="T28" t="str">
        <f t="shared" si="6"/>
        <v>uit.digester.S_ip_start = 0.00385423,</v>
      </c>
    </row>
    <row r="29" spans="1:20" x14ac:dyDescent="0.3">
      <c r="A29" s="8" t="s">
        <v>133</v>
      </c>
      <c r="B29" s="2" t="str">
        <f>A27</f>
        <v>6.88586e-07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6.88586e-07;</v>
      </c>
      <c r="J29" s="5" t="str">
        <f t="shared" si="0"/>
        <v>parameter SI.MassConcentration S_h2_start = 6.88586e-07;</v>
      </c>
      <c r="L29" t="str">
        <f>SUBSTITUTE(_xlfn.CONCAT(F29," ",G29," ",H29),";",",")</f>
        <v>S_h2_start = 6.88586e-07,</v>
      </c>
      <c r="P29" s="5" t="str">
        <f t="shared" si="12"/>
        <v>S_cat_start = 0.109064,</v>
      </c>
      <c r="R29" s="13" t="str">
        <f t="shared" si="5"/>
        <v>digester.S_cat_start = 0.109064,</v>
      </c>
      <c r="T29" t="str">
        <f t="shared" si="6"/>
        <v>uit.digester.S_cat_start = 0.109064,</v>
      </c>
    </row>
    <row r="30" spans="1:20" x14ac:dyDescent="0.3">
      <c r="A30" s="8" t="s">
        <v>134</v>
      </c>
      <c r="B30" s="2" t="str">
        <f>A28</f>
        <v>0.328428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0.328428;</v>
      </c>
      <c r="J30" s="5" t="str">
        <f t="shared" si="0"/>
        <v>parameter SI.MassConcentration S_ch4_start = 0.328428;</v>
      </c>
      <c r="L30" t="str">
        <f>SUBSTITUTE(_xlfn.CONCAT(F30," ",G30," ",H30),";",",")</f>
        <v>S_ch4_start = 0.328428,</v>
      </c>
      <c r="P30" s="5" t="str">
        <f t="shared" si="12"/>
        <v>S_ca_start = 3.74676e-05,</v>
      </c>
      <c r="R30" s="13" t="str">
        <f t="shared" si="5"/>
        <v>digester.S_ca_start = 3.74676e-05,</v>
      </c>
      <c r="T30" t="str">
        <f t="shared" si="6"/>
        <v>uit.digester.S_ca_start = 3.74676e-05,</v>
      </c>
    </row>
    <row r="31" spans="1:20" x14ac:dyDescent="0.3">
      <c r="A31" s="8" t="s">
        <v>135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8.11035e-05,</v>
      </c>
      <c r="R31" s="13" t="str">
        <f t="shared" si="5"/>
        <v>digester.S_mg_start = 8.11035e-05,</v>
      </c>
      <c r="T31" t="str">
        <f t="shared" si="6"/>
        <v>uit.digester.S_mg_start = 8.11035e-05,</v>
      </c>
    </row>
    <row r="32" spans="1:20" x14ac:dyDescent="0.3">
      <c r="A32" s="8" t="s">
        <v>136</v>
      </c>
      <c r="B32" s="2" t="str">
        <f>A29</f>
        <v>0.244466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0.244466;</v>
      </c>
      <c r="J32" s="5" t="str">
        <f t="shared" si="0"/>
        <v>parameter Types.MolarDensity_M S_ic_start = 0.244466;</v>
      </c>
      <c r="L32" t="str">
        <f t="shared" ref="L32:L40" si="13">SUBSTITUTE(_xlfn.CONCAT(F32," ",G32," ",H32),";",",")</f>
        <v>S_ic_start = 0.244466,</v>
      </c>
      <c r="P32" s="5" t="str">
        <f t="shared" si="12"/>
        <v>S_an_start = 0.014,</v>
      </c>
      <c r="R32" s="13" t="str">
        <f t="shared" si="5"/>
        <v>digester.S_an_start = 0.014,</v>
      </c>
      <c r="T32" t="str">
        <f>_xlfn.CONCAT("uit.",R32)</f>
        <v>uit.digester.S_an_start = 0.014,</v>
      </c>
    </row>
    <row r="33" spans="1:20" x14ac:dyDescent="0.3">
      <c r="A33" s="8" t="s">
        <v>137</v>
      </c>
      <c r="B33" s="2" t="str">
        <f t="shared" ref="B33:B40" si="14">A30</f>
        <v>0.152886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0.152886;</v>
      </c>
      <c r="J33" s="5" t="str">
        <f t="shared" si="0"/>
        <v>parameter Types.MolarDensity_M S_in_start = 0.152886;</v>
      </c>
      <c r="L33" t="str">
        <f t="shared" si="13"/>
        <v>S_in_start = 0.152886,</v>
      </c>
      <c r="P33" s="5" t="str">
        <f t="shared" si="12"/>
        <v>ash_start = 13.9041,</v>
      </c>
      <c r="R33" s="13" t="str">
        <f t="shared" si="5"/>
        <v>digester.ash_start = 13.9041,</v>
      </c>
      <c r="T33" t="str">
        <f t="shared" si="6"/>
        <v>uit.digester.ash_start = 13.9041,</v>
      </c>
    </row>
    <row r="34" spans="1:20" x14ac:dyDescent="0.3">
      <c r="A34" s="8" t="s">
        <v>138</v>
      </c>
      <c r="B34" s="2" t="str">
        <f t="shared" si="14"/>
        <v>0.00385423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0.00385423;</v>
      </c>
      <c r="J34" s="5" t="str">
        <f t="shared" si="0"/>
        <v>parameter Types.MolarDensity_M S_ip_start = 0.00385423;</v>
      </c>
      <c r="L34" t="str">
        <f t="shared" si="13"/>
        <v>S_ip_start = 0.00385423,</v>
      </c>
      <c r="P34" s="5" t="str">
        <f t="shared" si="12"/>
        <v>X_lig_start = 12.7707,</v>
      </c>
      <c r="R34" s="13" t="str">
        <f t="shared" si="5"/>
        <v>digester.X_lig_start = 12.7707,</v>
      </c>
      <c r="T34" t="str">
        <f t="shared" si="6"/>
        <v>uit.digester.X_lig_start = 12.7707,</v>
      </c>
    </row>
    <row r="35" spans="1:20" x14ac:dyDescent="0.3">
      <c r="A35" s="8" t="s">
        <v>139</v>
      </c>
      <c r="B35" s="2" t="str">
        <f t="shared" si="14"/>
        <v>0.109064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0.109064;</v>
      </c>
      <c r="J35" s="5" t="str">
        <f t="shared" si="0"/>
        <v>parameter Types.MolarDensity_M S_cat_start = 0.109064;</v>
      </c>
      <c r="L35" t="str">
        <f t="shared" si="13"/>
        <v>S_cat_start = 0.109064,</v>
      </c>
      <c r="P35" s="5" t="str">
        <f>L43</f>
        <v>S_gas_h2_start = 4.44812e-06,</v>
      </c>
      <c r="R35" s="13" t="str">
        <f t="shared" si="5"/>
        <v>digester.S_gas_h2_start = 4.44812e-06,</v>
      </c>
      <c r="T35" t="str">
        <f t="shared" si="6"/>
        <v>uit.digester.S_gas_h2_start = 4.44812e-06,</v>
      </c>
    </row>
    <row r="36" spans="1:20" x14ac:dyDescent="0.3">
      <c r="A36" s="8" t="s">
        <v>140</v>
      </c>
      <c r="B36" s="2" t="str">
        <f t="shared" si="14"/>
        <v>3.74676e-05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3.74676e-05;</v>
      </c>
      <c r="J36" s="5" t="str">
        <f t="shared" si="0"/>
        <v>parameter Types.MolarDensity_M S_ca_start = 3.74676e-05;</v>
      </c>
      <c r="L36" t="str">
        <f t="shared" si="13"/>
        <v>S_ca_start = 3.74676e-05,</v>
      </c>
      <c r="P36" s="5" t="str">
        <f>L44</f>
        <v>S_gas_ch4_start = 1.25697,</v>
      </c>
      <c r="R36" s="13" t="str">
        <f t="shared" si="5"/>
        <v>digester.S_gas_ch4_start = 1.25697,</v>
      </c>
      <c r="T36" t="str">
        <f t="shared" si="6"/>
        <v>uit.digester.S_gas_ch4_start = 1.25697,</v>
      </c>
    </row>
    <row r="37" spans="1:20" x14ac:dyDescent="0.3">
      <c r="A37" s="8" t="s">
        <v>141</v>
      </c>
      <c r="B37" s="2" t="str">
        <f t="shared" si="14"/>
        <v>8.11035e-05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8.11035e-05;</v>
      </c>
      <c r="J37" s="5" t="str">
        <f t="shared" si="0"/>
        <v>parameter Types.MolarDensity_M S_mg_start = 8.11035e-05;</v>
      </c>
      <c r="L37" t="str">
        <f t="shared" si="13"/>
        <v>S_mg_start = 8.11035e-05,</v>
      </c>
      <c r="P37" s="5" t="str">
        <f>L45</f>
        <v>S_gas_co2_start = 0.016745,</v>
      </c>
      <c r="R37" s="13" t="str">
        <f t="shared" si="5"/>
        <v>digester.S_gas_co2_start = 0.016745,</v>
      </c>
      <c r="T37" t="str">
        <f t="shared" si="6"/>
        <v>uit.digester.S_gas_co2_start = 0.016745,</v>
      </c>
    </row>
    <row r="38" spans="1:20" x14ac:dyDescent="0.3">
      <c r="A38" s="8" t="s">
        <v>142</v>
      </c>
      <c r="B38" s="2" t="str">
        <f t="shared" si="14"/>
        <v>0.014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0.014;</v>
      </c>
      <c r="J38" s="5" t="str">
        <f t="shared" si="0"/>
        <v>parameter Types.MolarDensity_M S_an_start = 0.014;</v>
      </c>
      <c r="L38" t="str">
        <f t="shared" si="13"/>
        <v>S_an_start = 0.014,</v>
      </c>
      <c r="P38" s="5" t="str">
        <f>L46</f>
        <v>S_gas_nh3_start = 2.97219e-06,</v>
      </c>
      <c r="R38" s="13" t="str">
        <f t="shared" si="5"/>
        <v>digester.S_gas_nh3_start = 2.97219e-06,</v>
      </c>
      <c r="T38" t="str">
        <f t="shared" si="6"/>
        <v>uit.digester.S_gas_nh3_start = 2.97219e-06,</v>
      </c>
    </row>
    <row r="39" spans="1:20" x14ac:dyDescent="0.3">
      <c r="A39" s="8" t="s">
        <v>143</v>
      </c>
      <c r="B39" s="2" t="str">
        <f t="shared" si="14"/>
        <v>13.9041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13.9041;</v>
      </c>
      <c r="J39" s="5" t="str">
        <f t="shared" si="0"/>
        <v>parameter SI.MassConcentration ash_start = 13.9041;</v>
      </c>
      <c r="L39" t="str">
        <f t="shared" si="13"/>
        <v>ash_start = 13.9041,</v>
      </c>
      <c r="P39" s="5" t="str">
        <f>L48</f>
        <v>X_acp_start = 8.43372e-12,</v>
      </c>
      <c r="R39" s="13" t="str">
        <f t="shared" si="5"/>
        <v>digester.X_acp_start = 8.43372e-12,</v>
      </c>
      <c r="T39" t="str">
        <f t="shared" si="6"/>
        <v>uit.digester.X_acp_start = 8.43372e-12,</v>
      </c>
    </row>
    <row r="40" spans="1:20" x14ac:dyDescent="0.3">
      <c r="A40" s="8" t="s">
        <v>144</v>
      </c>
      <c r="B40" s="2" t="str">
        <f t="shared" si="14"/>
        <v>12.7707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12.7707;</v>
      </c>
      <c r="J40" s="5" t="str">
        <f t="shared" si="0"/>
        <v>parameter SI.MassConcentration X_lig_start = 12.7707;</v>
      </c>
      <c r="L40" t="str">
        <f t="shared" si="13"/>
        <v>X_lig_start = 12.7707,</v>
      </c>
      <c r="P40" s="5" t="str">
        <f>L49</f>
        <v>X_stru_start = 0.00902089,</v>
      </c>
      <c r="R40" s="13" t="str">
        <f t="shared" si="5"/>
        <v>digester.X_stru_start = 0.00902089,</v>
      </c>
      <c r="T40" t="str">
        <f t="shared" si="6"/>
        <v>uit.digester.X_stru_start = 0.00902089,</v>
      </c>
    </row>
    <row r="41" spans="1:20" x14ac:dyDescent="0.3">
      <c r="A41" s="8" t="s">
        <v>145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0.00486653,</v>
      </c>
      <c r="R41" s="13" t="str">
        <f t="shared" si="5"/>
        <v>digester.X_ccm_start = 0.00486653,</v>
      </c>
      <c r="T41" t="str">
        <f t="shared" si="6"/>
        <v>uit.digester.X_ccm_start = 0.00486653,</v>
      </c>
    </row>
    <row r="42" spans="1:20" ht="15" thickBot="1" x14ac:dyDescent="0.35">
      <c r="A42" s="8" t="s">
        <v>146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1.77975e-9</v>
      </c>
      <c r="R42" s="13" t="str">
        <f t="shared" si="5"/>
        <v>digester.X_mag_start = 1.77975e-9</v>
      </c>
      <c r="T42" t="str">
        <f t="shared" si="6"/>
        <v>uit.digester.X_mag_start = 1.77975e-9</v>
      </c>
    </row>
    <row r="43" spans="1:20" ht="15" thickBot="1" x14ac:dyDescent="0.35">
      <c r="A43" s="8" t="s">
        <v>147</v>
      </c>
      <c r="B43" s="2" t="str">
        <f>A38</f>
        <v>4.44812e-06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4.44812e-06;</v>
      </c>
      <c r="J43" s="5" t="str">
        <f t="shared" si="0"/>
        <v>parameter SI.MassConcentration S_gas_h2_start = 4.44812e-06;</v>
      </c>
      <c r="L43" t="str">
        <f>SUBSTITUTE(_xlfn.CONCAT(F43," ",G43," ",H43),";",",")</f>
        <v>S_gas_h2_start = 4.44812e-06,</v>
      </c>
      <c r="P43" s="3" t="s">
        <v>62</v>
      </c>
      <c r="R43" s="13"/>
    </row>
    <row r="44" spans="1:20" ht="16.2" thickBot="1" x14ac:dyDescent="0.35">
      <c r="A44" s="8" t="s">
        <v>148</v>
      </c>
      <c r="B44" s="2" t="str">
        <f t="shared" ref="B44:B46" si="15">A39</f>
        <v>1.25697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1.25697;</v>
      </c>
      <c r="J44" s="5" t="str">
        <f t="shared" si="0"/>
        <v>parameter SI.MassConcentration S_gas_ch4_start = 1.25697;</v>
      </c>
      <c r="L44" t="str">
        <f>SUBSTITUTE(_xlfn.CONCAT(F44," ",G44," ",H44),";",",")</f>
        <v>S_gas_ch4_start = 1.25697,</v>
      </c>
      <c r="P44" s="11" t="str">
        <f>L53</f>
        <v>xi_start = 0.0288498,</v>
      </c>
      <c r="R44" s="14" t="str">
        <f>_xlfn.CONCAT("limPID.",P44)</f>
        <v>limPID.xi_start = 0.0288498,</v>
      </c>
      <c r="T44" t="str">
        <f t="shared" si="6"/>
        <v>uit.limPID.xi_start = 0.0288498,</v>
      </c>
    </row>
    <row r="45" spans="1:20" ht="15" thickBot="1" x14ac:dyDescent="0.35">
      <c r="A45" s="9" t="s">
        <v>149</v>
      </c>
      <c r="B45" s="2" t="str">
        <f t="shared" si="15"/>
        <v>0.016745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0.016745;</v>
      </c>
      <c r="J45" s="5" t="str">
        <f t="shared" si="0"/>
        <v>parameter Types.MolarDensity_M S_gas_co2_start = 0.016745;</v>
      </c>
      <c r="L45" t="str">
        <f>SUBSTITUTE(_xlfn.CONCAT(F45," ",G45," ",H45),";",",")</f>
        <v>S_gas_co2_start = 0.016745,</v>
      </c>
    </row>
    <row r="46" spans="1:20" ht="15" thickBot="1" x14ac:dyDescent="0.35">
      <c r="A46" s="3" t="s">
        <v>62</v>
      </c>
      <c r="B46" s="2" t="str">
        <f t="shared" si="15"/>
        <v>2.97219e-06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2.97219e-06;</v>
      </c>
      <c r="J46" s="5" t="str">
        <f t="shared" si="0"/>
        <v>parameter Types.MolarDensity_M S_gas_nh3_start = 2.97219e-06;</v>
      </c>
      <c r="L46" t="str">
        <f>SUBSTITUTE(_xlfn.CONCAT(F46," ",G46," ",H46),";",",")</f>
        <v>S_gas_nh3_start = 2.97219e-06,</v>
      </c>
    </row>
    <row r="47" spans="1:20" ht="15" thickBot="1" x14ac:dyDescent="0.35">
      <c r="A47" s="10">
        <v>2.8849799999999998E-2</v>
      </c>
      <c r="J47" s="5" t="str">
        <f t="shared" si="0"/>
        <v xml:space="preserve">    </v>
      </c>
    </row>
    <row r="48" spans="1:20" x14ac:dyDescent="0.3">
      <c r="B48" s="2" t="str">
        <f>A42</f>
        <v>8.43372e-12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8.43372e-12;</v>
      </c>
      <c r="J48" s="5" t="str">
        <f t="shared" si="0"/>
        <v>parameter Types.MolarDensity_M X_acp_start = 8.43372e-12;</v>
      </c>
      <c r="L48" t="str">
        <f>SUBSTITUTE(_xlfn.CONCAT(F48," ",G48," ",H48),";",",")</f>
        <v>X_acp_start = 8.43372e-12,</v>
      </c>
    </row>
    <row r="49" spans="2:12" x14ac:dyDescent="0.3">
      <c r="B49" s="2" t="str">
        <f t="shared" ref="B49:B51" si="16">A43</f>
        <v>0.00902089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0.00902089;</v>
      </c>
      <c r="J49" s="5" t="str">
        <f t="shared" si="0"/>
        <v>parameter Types.MolarDensity_M X_stru_start = 0.00902089;</v>
      </c>
      <c r="L49" t="str">
        <f>SUBSTITUTE(_xlfn.CONCAT(F49," ",G49," ",H49),";",",")</f>
        <v>X_stru_start = 0.00902089,</v>
      </c>
    </row>
    <row r="50" spans="2:12" x14ac:dyDescent="0.3">
      <c r="B50" s="2" t="str">
        <f t="shared" si="16"/>
        <v>0.00486653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0.00486653;</v>
      </c>
      <c r="J50" s="5" t="str">
        <f t="shared" si="0"/>
        <v>parameter Types.MolarDensity_M X_ccm_start = 0.00486653;</v>
      </c>
      <c r="L50" t="str">
        <f>SUBSTITUTE(_xlfn.CONCAT(F50," ",G50," ",H50),";",",")</f>
        <v>X_ccm_start = 0.00486653,</v>
      </c>
    </row>
    <row r="51" spans="2:12" ht="15" thickBot="1" x14ac:dyDescent="0.35">
      <c r="B51" s="2" t="str">
        <f t="shared" si="16"/>
        <v>1.77975e-9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1.77975e-9;</v>
      </c>
      <c r="J51" s="6" t="str">
        <f t="shared" si="0"/>
        <v>parameter Types.MolarDensity_M X_mag_start = 1.77975e-9;</v>
      </c>
      <c r="L51" t="str">
        <f>SUBSTITUTE(_xlfn.CONCAT(F51," ",G51," ",H51),";","")</f>
        <v>X_mag_start = 1.77975e-9</v>
      </c>
    </row>
    <row r="53" spans="2:12" ht="15.6" x14ac:dyDescent="0.3">
      <c r="L53" s="1" t="str">
        <f>_xlfn.CONCAT("xi_start ="," ",A47,",")</f>
        <v>xi_start = 0.0288498,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50AD-501B-44F8-AD6E-F35E53C542E2}">
  <dimension ref="A1:T53"/>
  <sheetViews>
    <sheetView zoomScale="80" zoomScaleNormal="80" workbookViewId="0">
      <selection activeCell="T44" sqref="T44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 t="s">
        <v>193</v>
      </c>
      <c r="B3" s="2" t="str">
        <f>A3</f>
        <v>2.15848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2.15848;</v>
      </c>
      <c r="J3" s="5" t="str">
        <f t="shared" ref="J3:J51" si="0">_xlfn.CONCAT(D3," ",E3," ",F3," ",G3," ",H3,)</f>
        <v>parameter SI.MassConcentration X_su_start = 2.15848;</v>
      </c>
      <c r="L3" t="str">
        <f t="shared" ref="L3:L9" si="1">SUBSTITUTE(_xlfn.CONCAT(F3," ",G3," ",H3),";",",")</f>
        <v>X_su_start = 2.15848,</v>
      </c>
      <c r="P3" s="4" t="str">
        <f>L3</f>
        <v>X_su_start = 2.15848,</v>
      </c>
      <c r="R3" s="12" t="str">
        <f>_xlfn.CONCAT("digester.",P3)</f>
        <v>digester.X_su_start = 2.15848,</v>
      </c>
      <c r="T3" t="str">
        <f>_xlfn.CONCAT("uit.",R3)</f>
        <v>uit.digester.X_su_start = 2.15848,</v>
      </c>
    </row>
    <row r="4" spans="1:20" x14ac:dyDescent="0.3">
      <c r="A4" s="8" t="s">
        <v>194</v>
      </c>
      <c r="B4" s="2" t="str">
        <f t="shared" ref="B4:B9" si="2">A4</f>
        <v>0.596949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0.596949;</v>
      </c>
      <c r="J4" s="5" t="str">
        <f t="shared" si="0"/>
        <v>parameter SI.MassConcentration X_aa_start = 0.596949;</v>
      </c>
      <c r="L4" t="str">
        <f t="shared" si="1"/>
        <v>X_aa_start = 0.596949,</v>
      </c>
      <c r="P4" s="5" t="str">
        <f t="shared" ref="P4:P9" si="4">L4</f>
        <v>X_aa_start = 0.596949,</v>
      </c>
      <c r="R4" s="13" t="str">
        <f t="shared" ref="R4:R42" si="5">_xlfn.CONCAT("digester.",P4)</f>
        <v>digester.X_aa_start = 0.596949,</v>
      </c>
      <c r="T4" t="str">
        <f t="shared" ref="T4:T44" si="6">_xlfn.CONCAT("uit.",R4)</f>
        <v>uit.digester.X_aa_start = 0.596949,</v>
      </c>
    </row>
    <row r="5" spans="1:20" x14ac:dyDescent="0.3">
      <c r="A5" s="8" t="s">
        <v>195</v>
      </c>
      <c r="B5" s="2" t="str">
        <f t="shared" si="2"/>
        <v>0.304025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0.304025;</v>
      </c>
      <c r="J5" s="5" t="str">
        <f t="shared" si="0"/>
        <v>parameter SI.MassConcentration X_fa_start = 0.304025;</v>
      </c>
      <c r="L5" t="str">
        <f t="shared" si="1"/>
        <v>X_fa_start = 0.304025,</v>
      </c>
      <c r="P5" s="5" t="str">
        <f t="shared" si="4"/>
        <v>X_fa_start = 0.304025,</v>
      </c>
      <c r="R5" s="13" t="str">
        <f t="shared" si="5"/>
        <v>digester.X_fa_start = 0.304025,</v>
      </c>
      <c r="T5" t="str">
        <f t="shared" si="6"/>
        <v>uit.digester.X_fa_start = 0.304025,</v>
      </c>
    </row>
    <row r="6" spans="1:20" x14ac:dyDescent="0.3">
      <c r="A6" s="8" t="s">
        <v>196</v>
      </c>
      <c r="B6" s="2" t="str">
        <f t="shared" si="2"/>
        <v>0.439858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0.439858;</v>
      </c>
      <c r="J6" s="5" t="str">
        <f t="shared" si="0"/>
        <v>parameter SI.MassConcentration X_c4_start = 0.439858;</v>
      </c>
      <c r="L6" t="str">
        <f t="shared" si="1"/>
        <v>X_c4_start = 0.439858,</v>
      </c>
      <c r="P6" s="5" t="str">
        <f t="shared" si="4"/>
        <v>X_c4_start = 0.439858,</v>
      </c>
      <c r="R6" s="13" t="str">
        <f t="shared" si="5"/>
        <v>digester.X_c4_start = 0.439858,</v>
      </c>
      <c r="T6" t="str">
        <f t="shared" si="6"/>
        <v>uit.digester.X_c4_start = 0.439858,</v>
      </c>
    </row>
    <row r="7" spans="1:20" x14ac:dyDescent="0.3">
      <c r="A7" s="8" t="s">
        <v>197</v>
      </c>
      <c r="B7" s="2" t="str">
        <f t="shared" si="2"/>
        <v>0.266651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0.266651;</v>
      </c>
      <c r="J7" s="5" t="str">
        <f t="shared" si="0"/>
        <v>parameter SI.MassConcentration X_pro_start = 0.266651;</v>
      </c>
      <c r="L7" t="str">
        <f t="shared" si="1"/>
        <v>X_pro_start = 0.266651,</v>
      </c>
      <c r="P7" s="5" t="str">
        <f t="shared" si="4"/>
        <v>X_pro_start = 0.266651,</v>
      </c>
      <c r="R7" s="13" t="str">
        <f t="shared" si="5"/>
        <v>digester.X_pro_start = 0.266651,</v>
      </c>
      <c r="T7" t="str">
        <f t="shared" si="6"/>
        <v>uit.digester.X_pro_start = 0.266651,</v>
      </c>
    </row>
    <row r="8" spans="1:20" x14ac:dyDescent="0.3">
      <c r="A8" s="8" t="s">
        <v>198</v>
      </c>
      <c r="B8" s="2" t="str">
        <f t="shared" si="2"/>
        <v>1.23709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1.23709;</v>
      </c>
      <c r="J8" s="5" t="str">
        <f t="shared" si="0"/>
        <v>parameter SI.MassConcentration X_ac_start = 1.23709;</v>
      </c>
      <c r="L8" t="str">
        <f t="shared" si="1"/>
        <v>X_ac_start = 1.23709,</v>
      </c>
      <c r="P8" s="5" t="str">
        <f t="shared" si="4"/>
        <v>X_ac_start = 1.23709,</v>
      </c>
      <c r="R8" s="13" t="str">
        <f t="shared" si="5"/>
        <v>digester.X_ac_start = 1.23709,</v>
      </c>
      <c r="T8" t="str">
        <f t="shared" si="6"/>
        <v>uit.digester.X_ac_start = 1.23709,</v>
      </c>
    </row>
    <row r="9" spans="1:20" x14ac:dyDescent="0.3">
      <c r="A9" s="8" t="s">
        <v>199</v>
      </c>
      <c r="B9" s="2" t="str">
        <f t="shared" si="2"/>
        <v>0.548733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0.548733;</v>
      </c>
      <c r="J9" s="5" t="str">
        <f t="shared" si="0"/>
        <v>parameter SI.MassConcentration X_h2_start = 0.548733;</v>
      </c>
      <c r="L9" t="str">
        <f t="shared" si="1"/>
        <v>X_h2_start = 0.548733,</v>
      </c>
      <c r="P9" s="5" t="str">
        <f t="shared" si="4"/>
        <v>X_h2_start = 0.548733,</v>
      </c>
      <c r="R9" s="13" t="str">
        <f t="shared" si="5"/>
        <v>digester.X_h2_start = 0.548733,</v>
      </c>
      <c r="T9" t="str">
        <f t="shared" si="6"/>
        <v>uit.digester.X_h2_start = 0.548733,</v>
      </c>
    </row>
    <row r="10" spans="1:20" x14ac:dyDescent="0.3">
      <c r="A10" s="8" t="s">
        <v>47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0,</v>
      </c>
      <c r="R10" s="13" t="str">
        <f t="shared" si="5"/>
        <v>digester.X_c_start = 0,</v>
      </c>
      <c r="T10" t="str">
        <f t="shared" si="6"/>
        <v>uit.digester.X_c_start = 0,</v>
      </c>
    </row>
    <row r="11" spans="1:20" x14ac:dyDescent="0.3">
      <c r="A11" s="8" t="s">
        <v>200</v>
      </c>
      <c r="B11" s="2" t="str">
        <f>A10</f>
        <v>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0;</v>
      </c>
      <c r="J11" s="5" t="str">
        <f t="shared" si="0"/>
        <v>parameter SI.MassConcentration X_c_start = 0;</v>
      </c>
      <c r="L11" t="str">
        <f>SUBSTITUTE(_xlfn.CONCAT(F11," ",G11," ",H11),";",",")</f>
        <v>X_c_start = 0,</v>
      </c>
      <c r="P11" s="5" t="str">
        <f t="shared" si="7"/>
        <v>X_i_start = 29.5283,</v>
      </c>
      <c r="R11" s="13" t="str">
        <f t="shared" si="5"/>
        <v>digester.X_i_start = 29.5283,</v>
      </c>
      <c r="T11" t="str">
        <f t="shared" si="6"/>
        <v>uit.digester.X_i_start = 29.5283,</v>
      </c>
    </row>
    <row r="12" spans="1:20" x14ac:dyDescent="0.3">
      <c r="A12" s="8" t="s">
        <v>201</v>
      </c>
      <c r="B12" s="2" t="str">
        <f t="shared" ref="B12:B27" si="8">A11</f>
        <v>29.5283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29.5283;</v>
      </c>
      <c r="J12" s="5" t="str">
        <f t="shared" si="0"/>
        <v>parameter SI.MassConcentration X_i_start = 29.5283;</v>
      </c>
      <c r="L12" t="str">
        <f>SUBSTITUTE(_xlfn.CONCAT(F12," ",G12," ",H12),";",",")</f>
        <v>X_i_start = 29.5283,</v>
      </c>
      <c r="P12" s="5" t="str">
        <f t="shared" si="7"/>
        <v>X_ch_start = {0.794862,0.819973,7.29863},</v>
      </c>
      <c r="R12" s="13" t="str">
        <f t="shared" si="5"/>
        <v>digester.X_ch_start = {0.794862,0.819973,7.29863},</v>
      </c>
      <c r="T12" t="str">
        <f t="shared" si="6"/>
        <v>uit.digester.X_ch_start = {0.794862,0.819973,7.29863},</v>
      </c>
    </row>
    <row r="13" spans="1:20" x14ac:dyDescent="0.3">
      <c r="A13" s="8" t="s">
        <v>202</v>
      </c>
      <c r="B13" s="2" t="str">
        <f t="shared" si="8"/>
        <v>0.794862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{0.794862,0.819973,7.29863};</v>
      </c>
      <c r="J13" s="5" t="str">
        <f t="shared" si="0"/>
        <v>parameter SI.MassConcentration X_ch_start[3] = {0.794862,0.819973,7.29863};</v>
      </c>
      <c r="L13" t="str">
        <f>SUBSTITUTE(SUBSTITUTE(_xlfn.CONCAT(F13," ",G13," ",H13),";",","),"[3]","")</f>
        <v>X_ch_start = {0.794862,0.819973,7.29863},</v>
      </c>
      <c r="P13" s="5" t="str">
        <f t="shared" si="7"/>
        <v>X_pr_start = {0.208158,1.03765},</v>
      </c>
      <c r="R13" s="13" t="str">
        <f t="shared" si="5"/>
        <v>digester.X_pr_start = {0.208158,1.03765},</v>
      </c>
      <c r="T13" t="str">
        <f t="shared" si="6"/>
        <v>uit.digester.X_pr_start = {0.208158,1.03765},</v>
      </c>
    </row>
    <row r="14" spans="1:20" x14ac:dyDescent="0.3">
      <c r="A14" s="8" t="s">
        <v>203</v>
      </c>
      <c r="B14" s="2" t="str">
        <f t="shared" si="8"/>
        <v>0.819973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{0.208158,1.03765};</v>
      </c>
      <c r="J14" s="5" t="str">
        <f t="shared" si="0"/>
        <v>parameter SI.MassConcentration X_pr_start[2] = {0.208158,1.03765};</v>
      </c>
      <c r="L14" t="str">
        <f>SUBSTITUTE(SUBSTITUTE(_xlfn.CONCAT(F14," ",G14," ",H14),";",","),"[2]","")</f>
        <v>X_pr_start = {0.208158,1.03765},</v>
      </c>
      <c r="P14" s="5" t="str">
        <f t="shared" si="7"/>
        <v>X_li_start = 0.948451,</v>
      </c>
      <c r="R14" s="13" t="str">
        <f t="shared" si="5"/>
        <v>digester.X_li_start = 0.948451,</v>
      </c>
      <c r="T14" t="str">
        <f t="shared" si="6"/>
        <v>uit.digester.X_li_start = 0.948451,</v>
      </c>
    </row>
    <row r="15" spans="1:20" x14ac:dyDescent="0.3">
      <c r="A15" s="8" t="s">
        <v>204</v>
      </c>
      <c r="B15" s="2" t="str">
        <f t="shared" si="8"/>
        <v>7.29863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0.948451;</v>
      </c>
      <c r="J15" s="5" t="str">
        <f t="shared" si="0"/>
        <v>parameter SI.MassConcentration X_li_start = 0.948451;</v>
      </c>
      <c r="L15" t="str">
        <f>SUBSTITUTE(_xlfn.CONCAT(F15," ",G15," ",H15),";",",")</f>
        <v>X_li_start = 0.948451,</v>
      </c>
      <c r="P15" s="5" t="str">
        <f t="shared" si="7"/>
        <v>X_p_start = 0.4147,</v>
      </c>
      <c r="R15" s="13" t="str">
        <f t="shared" si="5"/>
        <v>digester.X_p_start = 0.4147,</v>
      </c>
      <c r="T15" t="str">
        <f t="shared" si="6"/>
        <v>uit.digester.X_p_start = 0.4147,</v>
      </c>
    </row>
    <row r="16" spans="1:20" x14ac:dyDescent="0.3">
      <c r="A16" s="8" t="s">
        <v>205</v>
      </c>
      <c r="B16" s="2" t="str">
        <f t="shared" si="8"/>
        <v>0.208158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0.4147;</v>
      </c>
      <c r="J16" s="5" t="str">
        <f t="shared" si="0"/>
        <v>parameter SI.MassConcentration X_p_start = 0.4147;</v>
      </c>
      <c r="L16" t="str">
        <f>SUBSTITUTE(_xlfn.CONCAT(F16," ",G16," ",H16),";",",")</f>
        <v>X_p_start = 0.4147,</v>
      </c>
      <c r="P16" s="5" t="str">
        <f t="shared" ref="P16:P23" si="9">L20</f>
        <v>S_i_start = 0.103675,</v>
      </c>
      <c r="R16" s="13" t="str">
        <f t="shared" si="5"/>
        <v>digester.S_i_start = 0.103675,</v>
      </c>
      <c r="T16" t="str">
        <f t="shared" si="6"/>
        <v>uit.digester.S_i_start = 0.103675,</v>
      </c>
    </row>
    <row r="17" spans="1:20" x14ac:dyDescent="0.3">
      <c r="A17" s="8" t="s">
        <v>206</v>
      </c>
      <c r="B17" s="2" t="str">
        <f t="shared" si="8"/>
        <v>1.03765</v>
      </c>
      <c r="D17" t="s">
        <v>19</v>
      </c>
      <c r="J17" s="5" t="str">
        <f t="shared" si="0"/>
        <v xml:space="preserve">//    </v>
      </c>
      <c r="P17" s="5" t="str">
        <f t="shared" si="9"/>
        <v>S_su_start = 0.0311722,</v>
      </c>
      <c r="R17" s="13" t="str">
        <f t="shared" si="5"/>
        <v>digester.S_su_start = 0.0311722,</v>
      </c>
      <c r="T17" t="str">
        <f t="shared" si="6"/>
        <v>uit.digester.S_su_start = 0.0311722,</v>
      </c>
    </row>
    <row r="18" spans="1:20" x14ac:dyDescent="0.3">
      <c r="A18" s="8" t="s">
        <v>207</v>
      </c>
      <c r="B18" s="2" t="str">
        <f t="shared" si="8"/>
        <v>0.948451</v>
      </c>
      <c r="D18" t="s">
        <v>19</v>
      </c>
      <c r="J18" s="5" t="str">
        <f t="shared" si="0"/>
        <v xml:space="preserve">//    </v>
      </c>
      <c r="P18" s="5" t="str">
        <f t="shared" si="9"/>
        <v>S_aa_start = 0.0330603,</v>
      </c>
      <c r="R18" s="13" t="str">
        <f t="shared" si="5"/>
        <v>digester.S_aa_start = 0.0330603,</v>
      </c>
      <c r="T18" t="str">
        <f t="shared" si="6"/>
        <v>uit.digester.S_aa_start = 0.0330603,</v>
      </c>
    </row>
    <row r="19" spans="1:20" x14ac:dyDescent="0.3">
      <c r="A19" s="8" t="s">
        <v>208</v>
      </c>
      <c r="B19" s="2" t="str">
        <f t="shared" si="8"/>
        <v>0.4147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0.0598118,</v>
      </c>
      <c r="R19" s="13" t="str">
        <f t="shared" si="5"/>
        <v>digester.S_fa_start = 0.0598118,</v>
      </c>
      <c r="T19" t="str">
        <f t="shared" si="6"/>
        <v>uit.digester.S_fa_start = 0.0598118,</v>
      </c>
    </row>
    <row r="20" spans="1:20" x14ac:dyDescent="0.3">
      <c r="A20" s="8" t="s">
        <v>209</v>
      </c>
      <c r="B20" s="2" t="str">
        <f t="shared" si="8"/>
        <v>0.103675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0.103675;</v>
      </c>
      <c r="J20" s="5" t="str">
        <f t="shared" si="0"/>
        <v>parameter SI.MassConcentration S_i_start = 0.103675;</v>
      </c>
      <c r="L20" t="str">
        <f t="shared" ref="L20:L27" si="10">SUBSTITUTE(_xlfn.CONCAT(F20," ",G20," ",H20),";",",")</f>
        <v>S_i_start = 0.103675,</v>
      </c>
      <c r="P20" s="5" t="str">
        <f t="shared" si="9"/>
        <v>S_va_start = 0.00520717,</v>
      </c>
      <c r="R20" s="13" t="str">
        <f t="shared" si="5"/>
        <v>digester.S_va_start = 0.00520717,</v>
      </c>
      <c r="T20" t="str">
        <f t="shared" si="6"/>
        <v>uit.digester.S_va_start = 0.00520717,</v>
      </c>
    </row>
    <row r="21" spans="1:20" x14ac:dyDescent="0.3">
      <c r="A21" s="8" t="s">
        <v>210</v>
      </c>
      <c r="B21" s="2" t="str">
        <f t="shared" si="8"/>
        <v>0.0311722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0.0311722;</v>
      </c>
      <c r="J21" s="5" t="str">
        <f t="shared" si="0"/>
        <v>parameter SI.MassConcentration S_su_start = 0.0311722;</v>
      </c>
      <c r="L21" t="str">
        <f t="shared" si="10"/>
        <v>S_su_start = 0.0311722,</v>
      </c>
      <c r="P21" s="5" t="str">
        <f t="shared" si="9"/>
        <v>S_bu_start = 0.00881336,</v>
      </c>
      <c r="R21" s="13" t="str">
        <f t="shared" si="5"/>
        <v>digester.S_bu_start = 0.00881336,</v>
      </c>
      <c r="T21" t="str">
        <f t="shared" si="6"/>
        <v>uit.digester.S_bu_start = 0.00881336,</v>
      </c>
    </row>
    <row r="22" spans="1:20" x14ac:dyDescent="0.3">
      <c r="A22" s="8" t="s">
        <v>211</v>
      </c>
      <c r="B22" s="2" t="str">
        <f t="shared" si="8"/>
        <v>0.0330603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0.0330603;</v>
      </c>
      <c r="J22" s="5" t="str">
        <f t="shared" si="0"/>
        <v>parameter SI.MassConcentration S_aa_start = 0.0330603;</v>
      </c>
      <c r="L22" t="str">
        <f t="shared" si="10"/>
        <v>S_aa_start = 0.0330603,</v>
      </c>
      <c r="P22" s="5" t="str">
        <f t="shared" si="9"/>
        <v>S_pro_start = 0.0692453,</v>
      </c>
      <c r="R22" s="13" t="str">
        <f t="shared" si="5"/>
        <v>digester.S_pro_start = 0.0692453,</v>
      </c>
      <c r="T22" t="str">
        <f t="shared" si="6"/>
        <v>uit.digester.S_pro_start = 0.0692453,</v>
      </c>
    </row>
    <row r="23" spans="1:20" x14ac:dyDescent="0.3">
      <c r="A23" s="8" t="s">
        <v>212</v>
      </c>
      <c r="B23" s="2" t="str">
        <f t="shared" si="8"/>
        <v>0.0598118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0.0598118;</v>
      </c>
      <c r="J23" s="5" t="str">
        <f t="shared" si="0"/>
        <v>parameter SI.MassConcentration S_fa_start = 0.0598118;</v>
      </c>
      <c r="L23" t="str">
        <f t="shared" si="10"/>
        <v>S_fa_start = 0.0598118,</v>
      </c>
      <c r="P23" s="5" t="str">
        <f t="shared" si="9"/>
        <v>S_ac_start = 0.0932201,</v>
      </c>
      <c r="R23" s="13" t="str">
        <f t="shared" si="5"/>
        <v>digester.S_ac_start = 0.0932201,</v>
      </c>
      <c r="T23" t="str">
        <f t="shared" si="6"/>
        <v>uit.digester.S_ac_start = 0.0932201,</v>
      </c>
    </row>
    <row r="24" spans="1:20" x14ac:dyDescent="0.3">
      <c r="A24" s="8" t="s">
        <v>213</v>
      </c>
      <c r="B24" s="2" t="str">
        <f t="shared" si="8"/>
        <v>0.00520717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0.00520717;</v>
      </c>
      <c r="J24" s="5" t="str">
        <f t="shared" si="0"/>
        <v>parameter SI.MassConcentration S_va_start = 0.00520717;</v>
      </c>
      <c r="L24" t="str">
        <f t="shared" si="10"/>
        <v>S_va_start = 0.00520717,</v>
      </c>
      <c r="P24" s="5" t="str">
        <f>L29</f>
        <v>S_h2_start = 8.65904e-07,</v>
      </c>
      <c r="R24" s="13" t="str">
        <f t="shared" si="5"/>
        <v>digester.S_h2_start = 8.65904e-07,</v>
      </c>
      <c r="T24" t="str">
        <f t="shared" si="6"/>
        <v>uit.digester.S_h2_start = 8.65904e-07,</v>
      </c>
    </row>
    <row r="25" spans="1:20" x14ac:dyDescent="0.3">
      <c r="A25" s="8" t="s">
        <v>214</v>
      </c>
      <c r="B25" s="2" t="str">
        <f t="shared" si="8"/>
        <v>0.00881336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0.00881336;</v>
      </c>
      <c r="J25" s="5" t="str">
        <f t="shared" si="0"/>
        <v>parameter SI.MassConcentration S_bu_start = 0.00881336;</v>
      </c>
      <c r="L25" t="str">
        <f t="shared" si="10"/>
        <v>S_bu_start = 0.00881336,</v>
      </c>
      <c r="P25" s="5" t="str">
        <f>L30</f>
        <v>S_ch4_start = 0.315594,</v>
      </c>
      <c r="R25" s="13" t="str">
        <f t="shared" si="5"/>
        <v>digester.S_ch4_start = 0.315594,</v>
      </c>
      <c r="T25" t="str">
        <f t="shared" si="6"/>
        <v>uit.digester.S_ch4_start = 0.315594,</v>
      </c>
    </row>
    <row r="26" spans="1:20" x14ac:dyDescent="0.3">
      <c r="A26" s="8" t="s">
        <v>215</v>
      </c>
      <c r="B26" s="2" t="str">
        <f t="shared" si="8"/>
        <v>0.0692453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0.0692453;</v>
      </c>
      <c r="J26" s="5" t="str">
        <f t="shared" si="0"/>
        <v>parameter SI.MassConcentration S_pro_start = 0.0692453;</v>
      </c>
      <c r="L26" t="str">
        <f t="shared" si="10"/>
        <v>S_pro_start = 0.0692453,</v>
      </c>
      <c r="P26" s="5" t="str">
        <f t="shared" ref="P26:P34" si="12">L32</f>
        <v>S_ic_start = 0.2406,</v>
      </c>
      <c r="R26" s="13" t="str">
        <f t="shared" si="5"/>
        <v>digester.S_ic_start = 0.2406,</v>
      </c>
      <c r="T26" t="str">
        <f t="shared" si="6"/>
        <v>uit.digester.S_ic_start = 0.2406,</v>
      </c>
    </row>
    <row r="27" spans="1:20" x14ac:dyDescent="0.3">
      <c r="A27" s="8" t="s">
        <v>216</v>
      </c>
      <c r="B27" s="2" t="str">
        <f t="shared" si="8"/>
        <v>0.0932201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0.0932201;</v>
      </c>
      <c r="J27" s="5" t="str">
        <f t="shared" si="0"/>
        <v>parameter SI.MassConcentration S_ac_start = 0.0932201;</v>
      </c>
      <c r="L27" t="str">
        <f t="shared" si="10"/>
        <v>S_ac_start = 0.0932201,</v>
      </c>
      <c r="P27" s="5" t="str">
        <f t="shared" si="12"/>
        <v>S_in_start = 0.137783,</v>
      </c>
      <c r="R27" s="13" t="str">
        <f t="shared" si="5"/>
        <v>digester.S_in_start = 0.137783,</v>
      </c>
      <c r="T27" t="str">
        <f t="shared" si="6"/>
        <v>uit.digester.S_in_start = 0.137783,</v>
      </c>
    </row>
    <row r="28" spans="1:20" x14ac:dyDescent="0.3">
      <c r="A28" s="8" t="s">
        <v>217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0.00550002,</v>
      </c>
      <c r="R28" s="13" t="str">
        <f t="shared" si="5"/>
        <v>digester.S_ip_start = 0.00550002,</v>
      </c>
      <c r="T28" t="str">
        <f t="shared" si="6"/>
        <v>uit.digester.S_ip_start = 0.00550002,</v>
      </c>
    </row>
    <row r="29" spans="1:20" x14ac:dyDescent="0.3">
      <c r="A29" s="8" t="s">
        <v>218</v>
      </c>
      <c r="B29" s="2" t="str">
        <f>A27</f>
        <v>8.65904e-07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8.65904e-07;</v>
      </c>
      <c r="J29" s="5" t="str">
        <f t="shared" si="0"/>
        <v>parameter SI.MassConcentration S_h2_start = 8.65904e-07;</v>
      </c>
      <c r="L29" t="str">
        <f>SUBSTITUTE(_xlfn.CONCAT(F29," ",G29," ",H29),";",",")</f>
        <v>S_h2_start = 8.65904e-07,</v>
      </c>
      <c r="P29" s="5" t="str">
        <f t="shared" si="12"/>
        <v>S_cat_start = 0.125265,</v>
      </c>
      <c r="R29" s="13" t="str">
        <f t="shared" si="5"/>
        <v>digester.S_cat_start = 0.125265,</v>
      </c>
      <c r="T29" t="str">
        <f t="shared" si="6"/>
        <v>uit.digester.S_cat_start = 0.125265,</v>
      </c>
    </row>
    <row r="30" spans="1:20" x14ac:dyDescent="0.3">
      <c r="A30" s="8" t="s">
        <v>219</v>
      </c>
      <c r="B30" s="2" t="str">
        <f>A28</f>
        <v>0.315594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0.315594;</v>
      </c>
      <c r="J30" s="5" t="str">
        <f t="shared" si="0"/>
        <v>parameter SI.MassConcentration S_ch4_start = 0.315594;</v>
      </c>
      <c r="L30" t="str">
        <f>SUBSTITUTE(_xlfn.CONCAT(F30," ",G30," ",H30),";",",")</f>
        <v>S_ch4_start = 0.315594,</v>
      </c>
      <c r="P30" s="5" t="str">
        <f t="shared" si="12"/>
        <v>S_ca_start = 3.794e-05,</v>
      </c>
      <c r="R30" s="13" t="str">
        <f t="shared" si="5"/>
        <v>digester.S_ca_start = 3.794e-05,</v>
      </c>
      <c r="T30" t="str">
        <f t="shared" si="6"/>
        <v>uit.digester.S_ca_start = 3.794e-05,</v>
      </c>
    </row>
    <row r="31" spans="1:20" x14ac:dyDescent="0.3">
      <c r="A31" s="8" t="s">
        <v>220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6.27865e-05,</v>
      </c>
      <c r="R31" s="13" t="str">
        <f t="shared" si="5"/>
        <v>digester.S_mg_start = 6.27865e-05,</v>
      </c>
      <c r="T31" t="str">
        <f t="shared" si="6"/>
        <v>uit.digester.S_mg_start = 6.27865e-05,</v>
      </c>
    </row>
    <row r="32" spans="1:20" x14ac:dyDescent="0.3">
      <c r="A32" s="8" t="s">
        <v>221</v>
      </c>
      <c r="B32" s="2" t="str">
        <f>A29</f>
        <v>0.2406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0.2406;</v>
      </c>
      <c r="J32" s="5" t="str">
        <f t="shared" si="0"/>
        <v>parameter Types.MolarDensity_M S_ic_start = 0.2406;</v>
      </c>
      <c r="L32" t="str">
        <f t="shared" ref="L32:L40" si="13">SUBSTITUTE(_xlfn.CONCAT(F32," ",G32," ",H32),";",",")</f>
        <v>S_ic_start = 0.2406,</v>
      </c>
      <c r="P32" s="5" t="str">
        <f t="shared" si="12"/>
        <v>S_an_start = 0.01784,</v>
      </c>
      <c r="R32" s="13" t="str">
        <f t="shared" si="5"/>
        <v>digester.S_an_start = 0.01784,</v>
      </c>
      <c r="T32" t="str">
        <f>_xlfn.CONCAT("uit.",R32)</f>
        <v>uit.digester.S_an_start = 0.01784,</v>
      </c>
    </row>
    <row r="33" spans="1:20" x14ac:dyDescent="0.3">
      <c r="A33" s="8" t="s">
        <v>222</v>
      </c>
      <c r="B33" s="2" t="str">
        <f t="shared" ref="B33:B40" si="14">A30</f>
        <v>0.137783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0.137783;</v>
      </c>
      <c r="J33" s="5" t="str">
        <f t="shared" si="0"/>
        <v>parameter Types.MolarDensity_M S_in_start = 0.137783;</v>
      </c>
      <c r="L33" t="str">
        <f t="shared" si="13"/>
        <v>S_in_start = 0.137783,</v>
      </c>
      <c r="P33" s="5" t="str">
        <f t="shared" si="12"/>
        <v>ash_start = 13.1819,</v>
      </c>
      <c r="R33" s="13" t="str">
        <f t="shared" si="5"/>
        <v>digester.ash_start = 13.1819,</v>
      </c>
      <c r="T33" t="str">
        <f t="shared" si="6"/>
        <v>uit.digester.ash_start = 13.1819,</v>
      </c>
    </row>
    <row r="34" spans="1:20" x14ac:dyDescent="0.3">
      <c r="A34" s="8" t="s">
        <v>223</v>
      </c>
      <c r="B34" s="2" t="str">
        <f t="shared" si="14"/>
        <v>0.00550002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0.00550002;</v>
      </c>
      <c r="J34" s="5" t="str">
        <f t="shared" si="0"/>
        <v>parameter Types.MolarDensity_M S_ip_start = 0.00550002;</v>
      </c>
      <c r="L34" t="str">
        <f t="shared" si="13"/>
        <v>S_ip_start = 0.00550002,</v>
      </c>
      <c r="P34" s="5" t="str">
        <f t="shared" si="12"/>
        <v>X_lig_start = 12.5955,</v>
      </c>
      <c r="R34" s="13" t="str">
        <f t="shared" si="5"/>
        <v>digester.X_lig_start = 12.5955,</v>
      </c>
      <c r="T34" t="str">
        <f t="shared" si="6"/>
        <v>uit.digester.X_lig_start = 12.5955,</v>
      </c>
    </row>
    <row r="35" spans="1:20" x14ac:dyDescent="0.3">
      <c r="A35" s="8" t="s">
        <v>224</v>
      </c>
      <c r="B35" s="2" t="str">
        <f t="shared" si="14"/>
        <v>0.125265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0.125265;</v>
      </c>
      <c r="J35" s="5" t="str">
        <f t="shared" si="0"/>
        <v>parameter Types.MolarDensity_M S_cat_start = 0.125265;</v>
      </c>
      <c r="L35" t="str">
        <f t="shared" si="13"/>
        <v>S_cat_start = 0.125265,</v>
      </c>
      <c r="P35" s="5" t="str">
        <f>L43</f>
        <v>S_gas_h2_start = 6.03452e-06,</v>
      </c>
      <c r="R35" s="13" t="str">
        <f t="shared" si="5"/>
        <v>digester.S_gas_h2_start = 6.03452e-06,</v>
      </c>
      <c r="T35" t="str">
        <f t="shared" si="6"/>
        <v>uit.digester.S_gas_h2_start = 6.03452e-06,</v>
      </c>
    </row>
    <row r="36" spans="1:20" x14ac:dyDescent="0.3">
      <c r="A36" s="8" t="s">
        <v>225</v>
      </c>
      <c r="B36" s="2" t="str">
        <f t="shared" si="14"/>
        <v>3.794e-05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3.794e-05;</v>
      </c>
      <c r="J36" s="5" t="str">
        <f t="shared" si="0"/>
        <v>parameter Types.MolarDensity_M S_ca_start = 3.794e-05;</v>
      </c>
      <c r="L36" t="str">
        <f t="shared" si="13"/>
        <v>S_ca_start = 3.794e-05,</v>
      </c>
      <c r="P36" s="5" t="str">
        <f>L44</f>
        <v>S_gas_ch4_start = 1.30508,</v>
      </c>
      <c r="R36" s="13" t="str">
        <f t="shared" si="5"/>
        <v>digester.S_gas_ch4_start = 1.30508,</v>
      </c>
      <c r="T36" t="str">
        <f t="shared" si="6"/>
        <v>uit.digester.S_gas_ch4_start = 1.30508,</v>
      </c>
    </row>
    <row r="37" spans="1:20" x14ac:dyDescent="0.3">
      <c r="A37" s="8" t="s">
        <v>226</v>
      </c>
      <c r="B37" s="2" t="str">
        <f t="shared" si="14"/>
        <v>6.27865e-05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6.27865e-05;</v>
      </c>
      <c r="J37" s="5" t="str">
        <f t="shared" si="0"/>
        <v>parameter Types.MolarDensity_M S_mg_start = 6.27865e-05;</v>
      </c>
      <c r="L37" t="str">
        <f t="shared" si="13"/>
        <v>S_mg_start = 6.27865e-05,</v>
      </c>
      <c r="P37" s="5" t="str">
        <f>L45</f>
        <v>S_gas_co2_start = 0.0159933,</v>
      </c>
      <c r="R37" s="13" t="str">
        <f t="shared" si="5"/>
        <v>digester.S_gas_co2_start = 0.0159933,</v>
      </c>
      <c r="T37" t="str">
        <f t="shared" si="6"/>
        <v>uit.digester.S_gas_co2_start = 0.0159933,</v>
      </c>
    </row>
    <row r="38" spans="1:20" x14ac:dyDescent="0.3">
      <c r="A38" s="8" t="s">
        <v>227</v>
      </c>
      <c r="B38" s="2" t="str">
        <f t="shared" si="14"/>
        <v>0.01784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0.01784;</v>
      </c>
      <c r="J38" s="5" t="str">
        <f t="shared" si="0"/>
        <v>parameter Types.MolarDensity_M S_an_start = 0.01784;</v>
      </c>
      <c r="L38" t="str">
        <f t="shared" si="13"/>
        <v>S_an_start = 0.01784,</v>
      </c>
      <c r="P38" s="5" t="str">
        <f>L46</f>
        <v>S_gas_nh3_start = 2.70213e-06,</v>
      </c>
      <c r="R38" s="13" t="str">
        <f t="shared" si="5"/>
        <v>digester.S_gas_nh3_start = 2.70213e-06,</v>
      </c>
      <c r="T38" t="str">
        <f t="shared" si="6"/>
        <v>uit.digester.S_gas_nh3_start = 2.70213e-06,</v>
      </c>
    </row>
    <row r="39" spans="1:20" x14ac:dyDescent="0.3">
      <c r="A39" s="8" t="s">
        <v>228</v>
      </c>
      <c r="B39" s="2" t="str">
        <f t="shared" si="14"/>
        <v>13.1819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13.1819;</v>
      </c>
      <c r="J39" s="5" t="str">
        <f t="shared" si="0"/>
        <v>parameter SI.MassConcentration ash_start = 13.1819;</v>
      </c>
      <c r="L39" t="str">
        <f t="shared" si="13"/>
        <v>ash_start = 13.1819,</v>
      </c>
      <c r="P39" s="5" t="str">
        <f>L48</f>
        <v>X_acp_start = 1.58199e-11,</v>
      </c>
      <c r="R39" s="13" t="str">
        <f t="shared" si="5"/>
        <v>digester.X_acp_start = 1.58199e-11,</v>
      </c>
      <c r="T39" t="str">
        <f t="shared" si="6"/>
        <v>uit.digester.X_acp_start = 1.58199e-11,</v>
      </c>
    </row>
    <row r="40" spans="1:20" x14ac:dyDescent="0.3">
      <c r="A40" s="8" t="s">
        <v>229</v>
      </c>
      <c r="B40" s="2" t="str">
        <f t="shared" si="14"/>
        <v>12.5955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12.5955;</v>
      </c>
      <c r="J40" s="5" t="str">
        <f t="shared" si="0"/>
        <v>parameter SI.MassConcentration X_lig_start = 12.5955;</v>
      </c>
      <c r="L40" t="str">
        <f t="shared" si="13"/>
        <v>X_lig_start = 12.5955,</v>
      </c>
      <c r="P40" s="5" t="str">
        <f>L49</f>
        <v>X_stru_start = 0.0108936,</v>
      </c>
      <c r="R40" s="13" t="str">
        <f t="shared" si="5"/>
        <v>digester.X_stru_start = 0.0108936,</v>
      </c>
      <c r="T40" t="str">
        <f t="shared" si="6"/>
        <v>uit.digester.X_stru_start = 0.0108936,</v>
      </c>
    </row>
    <row r="41" spans="1:20" x14ac:dyDescent="0.3">
      <c r="A41" s="8" t="s">
        <v>230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0.00583506,</v>
      </c>
      <c r="R41" s="13" t="str">
        <f t="shared" si="5"/>
        <v>digester.X_ccm_start = 0.00583506,</v>
      </c>
      <c r="T41" t="str">
        <f t="shared" si="6"/>
        <v>uit.digester.X_ccm_start = 0.00583506,</v>
      </c>
    </row>
    <row r="42" spans="1:20" ht="15" thickBot="1" x14ac:dyDescent="0.35">
      <c r="A42" s="8" t="s">
        <v>231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2.30097e-09</v>
      </c>
      <c r="R42" s="13" t="str">
        <f t="shared" si="5"/>
        <v>digester.X_mag_start = 2.30097e-09</v>
      </c>
      <c r="T42" t="str">
        <f t="shared" si="6"/>
        <v>uit.digester.X_mag_start = 2.30097e-09</v>
      </c>
    </row>
    <row r="43" spans="1:20" ht="15" thickBot="1" x14ac:dyDescent="0.35">
      <c r="A43" s="8" t="s">
        <v>232</v>
      </c>
      <c r="B43" s="2" t="str">
        <f>A38</f>
        <v>6.03452e-06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6.03452e-06;</v>
      </c>
      <c r="J43" s="5" t="str">
        <f t="shared" si="0"/>
        <v>parameter SI.MassConcentration S_gas_h2_start = 6.03452e-06;</v>
      </c>
      <c r="L43" t="str">
        <f>SUBSTITUTE(_xlfn.CONCAT(F43," ",G43," ",H43),";",",")</f>
        <v>S_gas_h2_start = 6.03452e-06,</v>
      </c>
      <c r="P43" s="3" t="s">
        <v>62</v>
      </c>
      <c r="R43" s="13"/>
    </row>
    <row r="44" spans="1:20" ht="16.2" thickBot="1" x14ac:dyDescent="0.35">
      <c r="A44" s="8" t="s">
        <v>233</v>
      </c>
      <c r="B44" s="2" t="str">
        <f t="shared" ref="B44:B46" si="15">A39</f>
        <v>1.30508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1.30508;</v>
      </c>
      <c r="J44" s="5" t="str">
        <f t="shared" si="0"/>
        <v>parameter SI.MassConcentration S_gas_ch4_start = 1.30508;</v>
      </c>
      <c r="L44" t="str">
        <f>SUBSTITUTE(_xlfn.CONCAT(F44," ",G44," ",H44),";",",")</f>
        <v>S_gas_ch4_start = 1.30508,</v>
      </c>
      <c r="P44" s="11" t="str">
        <f>L53</f>
        <v>xi_start = 0.0264535,</v>
      </c>
      <c r="R44" s="14" t="str">
        <f>_xlfn.CONCAT("limPID.",P44)</f>
        <v>limPID.xi_start = 0.0264535,</v>
      </c>
      <c r="T44" t="str">
        <f t="shared" si="6"/>
        <v>uit.limPID.xi_start = 0.0264535,</v>
      </c>
    </row>
    <row r="45" spans="1:20" ht="15" thickBot="1" x14ac:dyDescent="0.35">
      <c r="A45" s="9" t="s">
        <v>234</v>
      </c>
      <c r="B45" s="2" t="str">
        <f t="shared" si="15"/>
        <v>0.0159933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0.0159933;</v>
      </c>
      <c r="J45" s="5" t="str">
        <f t="shared" si="0"/>
        <v>parameter Types.MolarDensity_M S_gas_co2_start = 0.0159933;</v>
      </c>
      <c r="L45" t="str">
        <f>SUBSTITUTE(_xlfn.CONCAT(F45," ",G45," ",H45),";",",")</f>
        <v>S_gas_co2_start = 0.0159933,</v>
      </c>
    </row>
    <row r="46" spans="1:20" ht="15" thickBot="1" x14ac:dyDescent="0.35">
      <c r="A46" s="3" t="s">
        <v>62</v>
      </c>
      <c r="B46" s="2" t="str">
        <f t="shared" si="15"/>
        <v>2.70213e-06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2.70213e-06;</v>
      </c>
      <c r="J46" s="5" t="str">
        <f t="shared" si="0"/>
        <v>parameter Types.MolarDensity_M S_gas_nh3_start = 2.70213e-06;</v>
      </c>
      <c r="L46" t="str">
        <f>SUBSTITUTE(_xlfn.CONCAT(F46," ",G46," ",H46),";",",")</f>
        <v>S_gas_nh3_start = 2.70213e-06,</v>
      </c>
    </row>
    <row r="47" spans="1:20" ht="15" thickBot="1" x14ac:dyDescent="0.35">
      <c r="A47" s="10">
        <v>2.6453500000000001E-2</v>
      </c>
      <c r="J47" s="5" t="str">
        <f t="shared" si="0"/>
        <v xml:space="preserve">    </v>
      </c>
    </row>
    <row r="48" spans="1:20" x14ac:dyDescent="0.3">
      <c r="B48" s="2" t="str">
        <f>A42</f>
        <v>1.58199e-11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1.58199e-11;</v>
      </c>
      <c r="J48" s="5" t="str">
        <f t="shared" si="0"/>
        <v>parameter Types.MolarDensity_M X_acp_start = 1.58199e-11;</v>
      </c>
      <c r="L48" t="str">
        <f>SUBSTITUTE(_xlfn.CONCAT(F48," ",G48," ",H48),";",",")</f>
        <v>X_acp_start = 1.58199e-11,</v>
      </c>
    </row>
    <row r="49" spans="2:12" x14ac:dyDescent="0.3">
      <c r="B49" s="2" t="str">
        <f t="shared" ref="B49:B51" si="16">A43</f>
        <v>0.0108936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0.0108936;</v>
      </c>
      <c r="J49" s="5" t="str">
        <f t="shared" si="0"/>
        <v>parameter Types.MolarDensity_M X_stru_start = 0.0108936;</v>
      </c>
      <c r="L49" t="str">
        <f>SUBSTITUTE(_xlfn.CONCAT(F49," ",G49," ",H49),";",",")</f>
        <v>X_stru_start = 0.0108936,</v>
      </c>
    </row>
    <row r="50" spans="2:12" x14ac:dyDescent="0.3">
      <c r="B50" s="2" t="str">
        <f t="shared" si="16"/>
        <v>0.00583506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0.00583506;</v>
      </c>
      <c r="J50" s="5" t="str">
        <f t="shared" si="0"/>
        <v>parameter Types.MolarDensity_M X_ccm_start = 0.00583506;</v>
      </c>
      <c r="L50" t="str">
        <f>SUBSTITUTE(_xlfn.CONCAT(F50," ",G50," ",H50),";",",")</f>
        <v>X_ccm_start = 0.00583506,</v>
      </c>
    </row>
    <row r="51" spans="2:12" ht="15" thickBot="1" x14ac:dyDescent="0.35">
      <c r="B51" s="2" t="str">
        <f t="shared" si="16"/>
        <v>2.30097e-09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2.30097e-09;</v>
      </c>
      <c r="J51" s="6" t="str">
        <f t="shared" si="0"/>
        <v>parameter Types.MolarDensity_M X_mag_start = 2.30097e-09;</v>
      </c>
      <c r="L51" t="str">
        <f>SUBSTITUTE(_xlfn.CONCAT(F51," ",G51," ",H51),";","")</f>
        <v>X_mag_start = 2.30097e-09</v>
      </c>
    </row>
    <row r="53" spans="2:12" ht="15.6" x14ac:dyDescent="0.3">
      <c r="L53" s="1" t="str">
        <f>_xlfn.CONCAT("xi_start ="," ",A47,",")</f>
        <v>xi_start = 0.0264535,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E378-3251-45FA-81B5-DE9162EB3B59}">
  <dimension ref="A1:T53"/>
  <sheetViews>
    <sheetView zoomScale="70" zoomScaleNormal="70" workbookViewId="0">
      <selection activeCell="A10" sqref="A10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 t="s">
        <v>150</v>
      </c>
      <c r="B3" s="2" t="str">
        <f>A3</f>
        <v>0.156028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0.156028;</v>
      </c>
      <c r="J3" s="5" t="str">
        <f t="shared" ref="J3:J51" si="0">_xlfn.CONCAT(D3," ",E3," ",F3," ",G3," ",H3,)</f>
        <v>parameter SI.MassConcentration X_su_start = 0.156028;</v>
      </c>
      <c r="L3" t="str">
        <f t="shared" ref="L3:L9" si="1">SUBSTITUTE(_xlfn.CONCAT(F3," ",G3," ",H3),";",",")</f>
        <v>X_su_start = 0.156028,</v>
      </c>
      <c r="P3" s="4" t="str">
        <f>L3</f>
        <v>X_su_start = 0.156028,</v>
      </c>
      <c r="R3" s="12" t="str">
        <f>_xlfn.CONCAT("digester.",P3)</f>
        <v>digester.X_su_start = 0.156028,</v>
      </c>
      <c r="T3" t="str">
        <f>_xlfn.CONCAT("uit.",R3)</f>
        <v>uit.digester.X_su_start = 0.156028,</v>
      </c>
    </row>
    <row r="4" spans="1:20" x14ac:dyDescent="0.3">
      <c r="A4" s="8" t="s">
        <v>151</v>
      </c>
      <c r="B4" s="2" t="str">
        <f t="shared" ref="B4:B9" si="2">A4</f>
        <v>0.435487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0.435487;</v>
      </c>
      <c r="J4" s="5" t="str">
        <f t="shared" si="0"/>
        <v>parameter SI.MassConcentration X_aa_start = 0.435487;</v>
      </c>
      <c r="L4" t="str">
        <f t="shared" si="1"/>
        <v>X_aa_start = 0.435487,</v>
      </c>
      <c r="P4" s="5" t="str">
        <f t="shared" ref="P4:P9" si="4">L4</f>
        <v>X_aa_start = 0.435487,</v>
      </c>
      <c r="R4" s="13" t="str">
        <f t="shared" ref="R4:R42" si="5">_xlfn.CONCAT("digester.",P4)</f>
        <v>digester.X_aa_start = 0.435487,</v>
      </c>
      <c r="T4" t="str">
        <f t="shared" ref="T4:T44" si="6">_xlfn.CONCAT("uit.",R4)</f>
        <v>uit.digester.X_aa_start = 0.435487,</v>
      </c>
    </row>
    <row r="5" spans="1:20" x14ac:dyDescent="0.3">
      <c r="A5" s="8" t="s">
        <v>152</v>
      </c>
      <c r="B5" s="2" t="str">
        <f t="shared" si="2"/>
        <v>0.273309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0.273309;</v>
      </c>
      <c r="J5" s="5" t="str">
        <f t="shared" si="0"/>
        <v>parameter SI.MassConcentration X_fa_start = 0.273309;</v>
      </c>
      <c r="L5" t="str">
        <f t="shared" si="1"/>
        <v>X_fa_start = 0.273309,</v>
      </c>
      <c r="P5" s="5" t="str">
        <f t="shared" si="4"/>
        <v>X_fa_start = 0.273309,</v>
      </c>
      <c r="R5" s="13" t="str">
        <f t="shared" si="5"/>
        <v>digester.X_fa_start = 0.273309,</v>
      </c>
      <c r="T5" t="str">
        <f t="shared" si="6"/>
        <v>uit.digester.X_fa_start = 0.273309,</v>
      </c>
    </row>
    <row r="6" spans="1:20" x14ac:dyDescent="0.3">
      <c r="A6" s="8" t="s">
        <v>153</v>
      </c>
      <c r="B6" s="2" t="str">
        <f t="shared" si="2"/>
        <v>0.175828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0.175828;</v>
      </c>
      <c r="J6" s="5" t="str">
        <f t="shared" si="0"/>
        <v>parameter SI.MassConcentration X_c4_start = 0.175828;</v>
      </c>
      <c r="L6" t="str">
        <f t="shared" si="1"/>
        <v>X_c4_start = 0.175828,</v>
      </c>
      <c r="P6" s="5" t="str">
        <f t="shared" si="4"/>
        <v>X_c4_start = 0.175828,</v>
      </c>
      <c r="R6" s="13" t="str">
        <f t="shared" si="5"/>
        <v>digester.X_c4_start = 0.175828,</v>
      </c>
      <c r="T6" t="str">
        <f t="shared" si="6"/>
        <v>uit.digester.X_c4_start = 0.175828,</v>
      </c>
    </row>
    <row r="7" spans="1:20" x14ac:dyDescent="0.3">
      <c r="A7" s="8" t="s">
        <v>154</v>
      </c>
      <c r="B7" s="2" t="str">
        <f t="shared" si="2"/>
        <v>0.0599003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0.0599003;</v>
      </c>
      <c r="J7" s="5" t="str">
        <f t="shared" si="0"/>
        <v>parameter SI.MassConcentration X_pro_start = 0.0599003;</v>
      </c>
      <c r="L7" t="str">
        <f t="shared" si="1"/>
        <v>X_pro_start = 0.0599003,</v>
      </c>
      <c r="P7" s="5" t="str">
        <f t="shared" si="4"/>
        <v>X_pro_start = 0.0599003,</v>
      </c>
      <c r="R7" s="13" t="str">
        <f t="shared" si="5"/>
        <v>digester.X_pro_start = 0.0599003,</v>
      </c>
      <c r="T7" t="str">
        <f t="shared" si="6"/>
        <v>uit.digester.X_pro_start = 0.0599003,</v>
      </c>
    </row>
    <row r="8" spans="1:20" x14ac:dyDescent="0.3">
      <c r="A8" s="8" t="s">
        <v>155</v>
      </c>
      <c r="B8" s="2" t="str">
        <f t="shared" si="2"/>
        <v>0.431741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0.431741;</v>
      </c>
      <c r="J8" s="5" t="str">
        <f t="shared" si="0"/>
        <v>parameter SI.MassConcentration X_ac_start = 0.431741;</v>
      </c>
      <c r="L8" t="str">
        <f t="shared" si="1"/>
        <v>X_ac_start = 0.431741,</v>
      </c>
      <c r="P8" s="5" t="str">
        <f t="shared" si="4"/>
        <v>X_ac_start = 0.431741,</v>
      </c>
      <c r="R8" s="13" t="str">
        <f t="shared" si="5"/>
        <v>digester.X_ac_start = 0.431741,</v>
      </c>
      <c r="T8" t="str">
        <f t="shared" si="6"/>
        <v>uit.digester.X_ac_start = 0.431741,</v>
      </c>
    </row>
    <row r="9" spans="1:20" x14ac:dyDescent="0.3">
      <c r="A9" s="8" t="s">
        <v>156</v>
      </c>
      <c r="B9" s="2" t="str">
        <f t="shared" si="2"/>
        <v>0.175683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0.175683;</v>
      </c>
      <c r="J9" s="5" t="str">
        <f t="shared" si="0"/>
        <v>parameter SI.MassConcentration X_h2_start = 0.175683;</v>
      </c>
      <c r="L9" t="str">
        <f t="shared" si="1"/>
        <v>X_h2_start = 0.175683,</v>
      </c>
      <c r="P9" s="5" t="str">
        <f t="shared" si="4"/>
        <v>X_h2_start = 0.175683,</v>
      </c>
      <c r="R9" s="13" t="str">
        <f t="shared" si="5"/>
        <v>digester.X_h2_start = 0.175683,</v>
      </c>
      <c r="T9" t="str">
        <f t="shared" si="6"/>
        <v>uit.digester.X_h2_start = 0.175683,</v>
      </c>
    </row>
    <row r="10" spans="1:20" x14ac:dyDescent="0.3">
      <c r="A10" s="8" t="s">
        <v>157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0.291302,</v>
      </c>
      <c r="R10" s="13" t="str">
        <f t="shared" si="5"/>
        <v>digester.X_c_start = 0.291302,</v>
      </c>
      <c r="T10" t="str">
        <f t="shared" si="6"/>
        <v>uit.digester.X_c_start = 0.291302,</v>
      </c>
    </row>
    <row r="11" spans="1:20" x14ac:dyDescent="0.3">
      <c r="A11" s="8" t="s">
        <v>158</v>
      </c>
      <c r="B11" s="2" t="str">
        <f>A10</f>
        <v>0.291302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0.291302;</v>
      </c>
      <c r="J11" s="5" t="str">
        <f t="shared" si="0"/>
        <v>parameter SI.MassConcentration X_c_start = 0.291302;</v>
      </c>
      <c r="L11" t="str">
        <f>SUBSTITUTE(_xlfn.CONCAT(F11," ",G11," ",H11),";",",")</f>
        <v>X_c_start = 0.291302,</v>
      </c>
      <c r="P11" s="5" t="str">
        <f t="shared" si="7"/>
        <v>X_i_start = 10.8967,</v>
      </c>
      <c r="R11" s="13" t="str">
        <f t="shared" si="5"/>
        <v>digester.X_i_start = 10.8967,</v>
      </c>
      <c r="T11" t="str">
        <f t="shared" si="6"/>
        <v>uit.digester.X_i_start = 10.8967,</v>
      </c>
    </row>
    <row r="12" spans="1:20" x14ac:dyDescent="0.3">
      <c r="A12" s="8" t="s">
        <v>159</v>
      </c>
      <c r="B12" s="2" t="str">
        <f t="shared" ref="B12:B27" si="8">A11</f>
        <v>10.8967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10.8967;</v>
      </c>
      <c r="J12" s="5" t="str">
        <f t="shared" si="0"/>
        <v>parameter SI.MassConcentration X_i_start = 10.8967;</v>
      </c>
      <c r="L12" t="str">
        <f>SUBSTITUTE(_xlfn.CONCAT(F12," ",G12," ",H12),";",",")</f>
        <v>X_i_start = 10.8967,</v>
      </c>
      <c r="P12" s="5" t="str">
        <f t="shared" si="7"/>
        <v>X_ch_start = {1.02655e-67,0.229839,0.000260655},</v>
      </c>
      <c r="R12" s="13" t="str">
        <f t="shared" si="5"/>
        <v>digester.X_ch_start = {1.02655e-67,0.229839,0.000260655},</v>
      </c>
      <c r="T12" t="str">
        <f t="shared" si="6"/>
        <v>uit.digester.X_ch_start = {1.02655e-67,0.229839,0.000260655},</v>
      </c>
    </row>
    <row r="13" spans="1:20" x14ac:dyDescent="0.3">
      <c r="A13" s="8" t="s">
        <v>160</v>
      </c>
      <c r="B13" s="2" t="str">
        <f t="shared" si="8"/>
        <v>1.02655e-67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{1.02655e-67,0.229839,0.000260655};</v>
      </c>
      <c r="J13" s="5" t="str">
        <f t="shared" si="0"/>
        <v>parameter SI.MassConcentration X_ch_start[3] = {1.02655e-67,0.229839,0.000260655};</v>
      </c>
      <c r="L13" t="str">
        <f>SUBSTITUTE(SUBSTITUTE(_xlfn.CONCAT(F13," ",G13," ",H13),";",","),"[3]","")</f>
        <v>X_ch_start = {1.02655e-67,0.229839,0.000260655},</v>
      </c>
      <c r="P13" s="5" t="str">
        <f t="shared" si="7"/>
        <v>X_pr_start = {6.05665e-68,1.33439},</v>
      </c>
      <c r="R13" s="13" t="str">
        <f t="shared" si="5"/>
        <v>digester.X_pr_start = {6.05665e-68,1.33439},</v>
      </c>
      <c r="T13" t="str">
        <f t="shared" si="6"/>
        <v>uit.digester.X_pr_start = {6.05665e-68,1.33439},</v>
      </c>
    </row>
    <row r="14" spans="1:20" x14ac:dyDescent="0.3">
      <c r="A14" s="8" t="s">
        <v>161</v>
      </c>
      <c r="B14" s="2" t="str">
        <f t="shared" si="8"/>
        <v>0.229839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{6.05665e-68,1.33439};</v>
      </c>
      <c r="J14" s="5" t="str">
        <f t="shared" si="0"/>
        <v>parameter SI.MassConcentration X_pr_start[2] = {6.05665e-68,1.33439};</v>
      </c>
      <c r="L14" t="str">
        <f>SUBSTITUTE(SUBSTITUTE(_xlfn.CONCAT(F14," ",G14," ",H14),";",","),"[2]","")</f>
        <v>X_pr_start = {6.05665e-68,1.33439},</v>
      </c>
      <c r="P14" s="5" t="str">
        <f t="shared" si="7"/>
        <v>X_li_start = 1.27877,</v>
      </c>
      <c r="R14" s="13" t="str">
        <f t="shared" si="5"/>
        <v>digester.X_li_start = 1.27877,</v>
      </c>
      <c r="T14" t="str">
        <f t="shared" si="6"/>
        <v>uit.digester.X_li_start = 1.27877,</v>
      </c>
    </row>
    <row r="15" spans="1:20" x14ac:dyDescent="0.3">
      <c r="A15" s="8" t="s">
        <v>162</v>
      </c>
      <c r="B15" s="2" t="str">
        <f t="shared" si="8"/>
        <v>0.000260655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1.27877;</v>
      </c>
      <c r="J15" s="5" t="str">
        <f t="shared" si="0"/>
        <v>parameter SI.MassConcentration X_li_start = 1.27877;</v>
      </c>
      <c r="L15" t="str">
        <f>SUBSTITUTE(_xlfn.CONCAT(F15," ",G15," ",H15),";",",")</f>
        <v>X_li_start = 1.27877,</v>
      </c>
      <c r="P15" s="5" t="str">
        <f t="shared" si="7"/>
        <v>X_p_start = 0.487235,</v>
      </c>
      <c r="R15" s="13" t="str">
        <f t="shared" si="5"/>
        <v>digester.X_p_start = 0.487235,</v>
      </c>
      <c r="T15" t="str">
        <f t="shared" si="6"/>
        <v>uit.digester.X_p_start = 0.487235,</v>
      </c>
    </row>
    <row r="16" spans="1:20" x14ac:dyDescent="0.3">
      <c r="A16" s="8" t="s">
        <v>163</v>
      </c>
      <c r="B16" s="2" t="str">
        <f t="shared" si="8"/>
        <v>6.05665e-68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0.487235;</v>
      </c>
      <c r="J16" s="5" t="str">
        <f t="shared" si="0"/>
        <v>parameter SI.MassConcentration X_p_start = 0.487235;</v>
      </c>
      <c r="L16" t="str">
        <f>SUBSTITUTE(_xlfn.CONCAT(F16," ",G16," ",H16),";",",")</f>
        <v>X_p_start = 0.487235,</v>
      </c>
      <c r="P16" s="5" t="str">
        <f t="shared" ref="P16:P23" si="9">L20</f>
        <v>S_i_start = 0.0154883,</v>
      </c>
      <c r="R16" s="13" t="str">
        <f t="shared" si="5"/>
        <v>digester.S_i_start = 0.0154883,</v>
      </c>
      <c r="T16" t="str">
        <f t="shared" si="6"/>
        <v>uit.digester.S_i_start = 0.0154883,</v>
      </c>
    </row>
    <row r="17" spans="1:20" x14ac:dyDescent="0.3">
      <c r="A17" s="8" t="s">
        <v>164</v>
      </c>
      <c r="B17" s="2" t="str">
        <f t="shared" si="8"/>
        <v>1.33439</v>
      </c>
      <c r="D17" t="s">
        <v>19</v>
      </c>
      <c r="J17" s="5" t="str">
        <f t="shared" si="0"/>
        <v xml:space="preserve">//    </v>
      </c>
      <c r="P17" s="5" t="str">
        <f t="shared" si="9"/>
        <v>S_su_start = 0.0393944,</v>
      </c>
      <c r="R17" s="13" t="str">
        <f t="shared" si="5"/>
        <v>digester.S_su_start = 0.0393944,</v>
      </c>
      <c r="T17" t="str">
        <f t="shared" si="6"/>
        <v>uit.digester.S_su_start = 0.0393944,</v>
      </c>
    </row>
    <row r="18" spans="1:20" x14ac:dyDescent="0.3">
      <c r="A18" s="8" t="s">
        <v>165</v>
      </c>
      <c r="B18" s="2" t="str">
        <f t="shared" si="8"/>
        <v>1.27877</v>
      </c>
      <c r="D18" t="s">
        <v>19</v>
      </c>
      <c r="J18" s="5" t="str">
        <f t="shared" si="0"/>
        <v xml:space="preserve">//    </v>
      </c>
      <c r="P18" s="5" t="str">
        <f t="shared" si="9"/>
        <v>S_aa_start = 0.0415751,</v>
      </c>
      <c r="R18" s="13" t="str">
        <f t="shared" si="5"/>
        <v>digester.S_aa_start = 0.0415751,</v>
      </c>
      <c r="T18" t="str">
        <f t="shared" si="6"/>
        <v>uit.digester.S_aa_start = 0.0415751,</v>
      </c>
    </row>
    <row r="19" spans="1:20" x14ac:dyDescent="0.3">
      <c r="A19" s="8" t="s">
        <v>166</v>
      </c>
      <c r="B19" s="2" t="str">
        <f t="shared" si="8"/>
        <v>0.487235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0.146442,</v>
      </c>
      <c r="R19" s="13" t="str">
        <f t="shared" si="5"/>
        <v>digester.S_fa_start = 0.146442,</v>
      </c>
      <c r="T19" t="str">
        <f t="shared" si="6"/>
        <v>uit.digester.S_fa_start = 0.146442,</v>
      </c>
    </row>
    <row r="20" spans="1:20" x14ac:dyDescent="0.3">
      <c r="A20" s="8" t="s">
        <v>167</v>
      </c>
      <c r="B20" s="2" t="str">
        <f t="shared" si="8"/>
        <v>0.0154883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0.0154883;</v>
      </c>
      <c r="J20" s="5" t="str">
        <f t="shared" si="0"/>
        <v>parameter SI.MassConcentration S_i_start = 0.0154883;</v>
      </c>
      <c r="L20" t="str">
        <f t="shared" ref="L20:L27" si="10">SUBSTITUTE(_xlfn.CONCAT(F20," ",G20," ",H20),";",",")</f>
        <v>S_i_start = 0.0154883,</v>
      </c>
      <c r="P20" s="5" t="str">
        <f t="shared" si="9"/>
        <v>S_va_start = 0.0065279,</v>
      </c>
      <c r="R20" s="13" t="str">
        <f t="shared" si="5"/>
        <v>digester.S_va_start = 0.0065279,</v>
      </c>
      <c r="T20" t="str">
        <f t="shared" si="6"/>
        <v>uit.digester.S_va_start = 0.0065279,</v>
      </c>
    </row>
    <row r="21" spans="1:20" x14ac:dyDescent="0.3">
      <c r="A21" s="8" t="s">
        <v>168</v>
      </c>
      <c r="B21" s="2" t="str">
        <f t="shared" si="8"/>
        <v>0.0393944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0.0393944;</v>
      </c>
      <c r="J21" s="5" t="str">
        <f t="shared" si="0"/>
        <v>parameter SI.MassConcentration S_su_start = 0.0393944;</v>
      </c>
      <c r="L21" t="str">
        <f t="shared" si="10"/>
        <v>S_su_start = 0.0393944,</v>
      </c>
      <c r="P21" s="5" t="str">
        <f t="shared" si="9"/>
        <v>S_bu_start = 0.0073302,</v>
      </c>
      <c r="R21" s="13" t="str">
        <f t="shared" si="5"/>
        <v>digester.S_bu_start = 0.0073302,</v>
      </c>
      <c r="T21" t="str">
        <f t="shared" si="6"/>
        <v>uit.digester.S_bu_start = 0.0073302,</v>
      </c>
    </row>
    <row r="22" spans="1:20" x14ac:dyDescent="0.3">
      <c r="A22" s="8" t="s">
        <v>169</v>
      </c>
      <c r="B22" s="2" t="str">
        <f t="shared" si="8"/>
        <v>0.0415751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0.0415751;</v>
      </c>
      <c r="J22" s="5" t="str">
        <f t="shared" si="0"/>
        <v>parameter SI.MassConcentration S_aa_start = 0.0415751;</v>
      </c>
      <c r="L22" t="str">
        <f t="shared" si="10"/>
        <v>S_aa_start = 0.0415751,</v>
      </c>
      <c r="P22" s="5" t="str">
        <f t="shared" si="9"/>
        <v>S_pro_start = 0.0393866,</v>
      </c>
      <c r="R22" s="13" t="str">
        <f t="shared" si="5"/>
        <v>digester.S_pro_start = 0.0393866,</v>
      </c>
      <c r="T22" t="str">
        <f t="shared" si="6"/>
        <v>uit.digester.S_pro_start = 0.0393866,</v>
      </c>
    </row>
    <row r="23" spans="1:20" x14ac:dyDescent="0.3">
      <c r="A23" s="8" t="s">
        <v>170</v>
      </c>
      <c r="B23" s="2" t="str">
        <f t="shared" si="8"/>
        <v>0.146442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0.146442;</v>
      </c>
      <c r="J23" s="5" t="str">
        <f t="shared" si="0"/>
        <v>parameter SI.MassConcentration S_fa_start = 0.146442;</v>
      </c>
      <c r="L23" t="str">
        <f t="shared" si="10"/>
        <v>S_fa_start = 0.146442,</v>
      </c>
      <c r="P23" s="5" t="str">
        <f t="shared" si="9"/>
        <v>S_ac_start = 0.0462823,</v>
      </c>
      <c r="R23" s="13" t="str">
        <f t="shared" si="5"/>
        <v>digester.S_ac_start = 0.0462823,</v>
      </c>
      <c r="T23" t="str">
        <f t="shared" si="6"/>
        <v>uit.digester.S_ac_start = 0.0462823,</v>
      </c>
    </row>
    <row r="24" spans="1:20" x14ac:dyDescent="0.3">
      <c r="A24" s="8" t="s">
        <v>171</v>
      </c>
      <c r="B24" s="2" t="str">
        <f t="shared" si="8"/>
        <v>0.0065279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0.0065279;</v>
      </c>
      <c r="J24" s="5" t="str">
        <f t="shared" si="0"/>
        <v>parameter SI.MassConcentration S_va_start = 0.0065279;</v>
      </c>
      <c r="L24" t="str">
        <f t="shared" si="10"/>
        <v>S_va_start = 0.0065279,</v>
      </c>
      <c r="P24" s="5" t="str">
        <f>L29</f>
        <v>S_h2_start = 9.716e-07,</v>
      </c>
      <c r="R24" s="13" t="str">
        <f t="shared" si="5"/>
        <v>digester.S_h2_start = 9.716e-07,</v>
      </c>
      <c r="T24" t="str">
        <f t="shared" si="6"/>
        <v>uit.digester.S_h2_start = 9.716e-07,</v>
      </c>
    </row>
    <row r="25" spans="1:20" x14ac:dyDescent="0.3">
      <c r="A25" s="8" t="s">
        <v>172</v>
      </c>
      <c r="B25" s="2" t="str">
        <f t="shared" si="8"/>
        <v>0.0073302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0.0073302;</v>
      </c>
      <c r="J25" s="5" t="str">
        <f t="shared" si="0"/>
        <v>parameter SI.MassConcentration S_bu_start = 0.0073302;</v>
      </c>
      <c r="L25" t="str">
        <f t="shared" si="10"/>
        <v>S_bu_start = 0.0073302,</v>
      </c>
      <c r="P25" s="5" t="str">
        <f>L30</f>
        <v>S_ch4_start = 0.0395999,</v>
      </c>
      <c r="R25" s="13" t="str">
        <f t="shared" si="5"/>
        <v>digester.S_ch4_start = 0.0395999,</v>
      </c>
      <c r="T25" t="str">
        <f t="shared" si="6"/>
        <v>uit.digester.S_ch4_start = 0.0395999,</v>
      </c>
    </row>
    <row r="26" spans="1:20" x14ac:dyDescent="0.3">
      <c r="A26" s="8" t="s">
        <v>173</v>
      </c>
      <c r="B26" s="2" t="str">
        <f t="shared" si="8"/>
        <v>0.0393866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0.0393866;</v>
      </c>
      <c r="J26" s="5" t="str">
        <f t="shared" si="0"/>
        <v>parameter SI.MassConcentration S_pro_start = 0.0393866;</v>
      </c>
      <c r="L26" t="str">
        <f t="shared" si="10"/>
        <v>S_pro_start = 0.0393866,</v>
      </c>
      <c r="P26" s="5" t="str">
        <f t="shared" ref="P26:P34" si="12">L32</f>
        <v>S_ic_start = 0.0978747,</v>
      </c>
      <c r="R26" s="13" t="str">
        <f t="shared" si="5"/>
        <v>digester.S_ic_start = 0.0978747,</v>
      </c>
      <c r="T26" t="str">
        <f t="shared" si="6"/>
        <v>uit.digester.S_ic_start = 0.0978747,</v>
      </c>
    </row>
    <row r="27" spans="1:20" x14ac:dyDescent="0.3">
      <c r="A27" s="8" t="s">
        <v>174</v>
      </c>
      <c r="B27" s="2" t="str">
        <f t="shared" si="8"/>
        <v>0.0462823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0.0462823;</v>
      </c>
      <c r="J27" s="5" t="str">
        <f t="shared" si="0"/>
        <v>parameter SI.MassConcentration S_ac_start = 0.0462823;</v>
      </c>
      <c r="L27" t="str">
        <f t="shared" si="10"/>
        <v>S_ac_start = 0.0462823,</v>
      </c>
      <c r="P27" s="5" t="str">
        <f t="shared" si="12"/>
        <v>S_in_start = 0.0486144,</v>
      </c>
      <c r="R27" s="13" t="str">
        <f t="shared" si="5"/>
        <v>digester.S_in_start = 0.0486144,</v>
      </c>
      <c r="T27" t="str">
        <f t="shared" si="6"/>
        <v>uit.digester.S_in_start = 0.0486144,</v>
      </c>
    </row>
    <row r="28" spans="1:20" x14ac:dyDescent="0.3">
      <c r="A28" s="8" t="s">
        <v>175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0.0041804,</v>
      </c>
      <c r="R28" s="13" t="str">
        <f t="shared" si="5"/>
        <v>digester.S_ip_start = 0.0041804,</v>
      </c>
      <c r="T28" t="str">
        <f t="shared" si="6"/>
        <v>uit.digester.S_ip_start = 0.0041804,</v>
      </c>
    </row>
    <row r="29" spans="1:20" x14ac:dyDescent="0.3">
      <c r="A29" s="8" t="s">
        <v>176</v>
      </c>
      <c r="B29" s="2" t="str">
        <f>A27</f>
        <v>9.716e-07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9.716e-07;</v>
      </c>
      <c r="J29" s="5" t="str">
        <f t="shared" si="0"/>
        <v>parameter SI.MassConcentration S_h2_start = 9.716e-07;</v>
      </c>
      <c r="L29" t="str">
        <f>SUBSTITUTE(_xlfn.CONCAT(F29," ",G29," ",H29),";",",")</f>
        <v>S_h2_start = 9.716e-07,</v>
      </c>
      <c r="P29" s="5" t="str">
        <f t="shared" si="12"/>
        <v>S_cat_start = 0.105552,</v>
      </c>
      <c r="R29" s="13" t="str">
        <f t="shared" si="5"/>
        <v>digester.S_cat_start = 0.105552,</v>
      </c>
      <c r="T29" t="str">
        <f t="shared" si="6"/>
        <v>uit.digester.S_cat_start = 0.105552,</v>
      </c>
    </row>
    <row r="30" spans="1:20" x14ac:dyDescent="0.3">
      <c r="A30" s="8" t="s">
        <v>177</v>
      </c>
      <c r="B30" s="2" t="str">
        <f>A28</f>
        <v>0.0395999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0.0395999;</v>
      </c>
      <c r="J30" s="5" t="str">
        <f t="shared" si="0"/>
        <v>parameter SI.MassConcentration S_ch4_start = 0.0395999;</v>
      </c>
      <c r="L30" t="str">
        <f>SUBSTITUTE(_xlfn.CONCAT(F30," ",G30," ",H30),";",",")</f>
        <v>S_ch4_start = 0.0395999,</v>
      </c>
      <c r="P30" s="5" t="str">
        <f t="shared" si="12"/>
        <v>S_ca_start = 6.80009e-06,</v>
      </c>
      <c r="R30" s="13" t="str">
        <f t="shared" si="5"/>
        <v>digester.S_ca_start = 6.80009e-06,</v>
      </c>
      <c r="T30" t="str">
        <f t="shared" si="6"/>
        <v>uit.digester.S_ca_start = 6.80009e-06,</v>
      </c>
    </row>
    <row r="31" spans="1:20" x14ac:dyDescent="0.3">
      <c r="A31" s="8" t="s">
        <v>178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7.20234e-06,</v>
      </c>
      <c r="R31" s="13" t="str">
        <f t="shared" si="5"/>
        <v>digester.S_mg_start = 7.20234e-06,</v>
      </c>
      <c r="T31" t="str">
        <f t="shared" si="6"/>
        <v>uit.digester.S_mg_start = 7.20234e-06,</v>
      </c>
    </row>
    <row r="32" spans="1:20" x14ac:dyDescent="0.3">
      <c r="A32" s="8" t="s">
        <v>179</v>
      </c>
      <c r="B32" s="2" t="str">
        <f>A29</f>
        <v>0.0978747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0.0978747;</v>
      </c>
      <c r="J32" s="5" t="str">
        <f t="shared" si="0"/>
        <v>parameter Types.MolarDensity_M S_ic_start = 0.0978747;</v>
      </c>
      <c r="L32" t="str">
        <f t="shared" ref="L32:L40" si="13">SUBSTITUTE(_xlfn.CONCAT(F32," ",G32," ",H32),";",",")</f>
        <v>S_ic_start = 0.0978747,</v>
      </c>
      <c r="P32" s="5" t="str">
        <f t="shared" si="12"/>
        <v>S_an_start = 0.061095,</v>
      </c>
      <c r="R32" s="13" t="str">
        <f t="shared" si="5"/>
        <v>digester.S_an_start = 0.061095,</v>
      </c>
      <c r="T32" t="str">
        <f>_xlfn.CONCAT("uit.",R32)</f>
        <v>uit.digester.S_an_start = 0.061095,</v>
      </c>
    </row>
    <row r="33" spans="1:20" x14ac:dyDescent="0.3">
      <c r="A33" s="8" t="s">
        <v>180</v>
      </c>
      <c r="B33" s="2" t="str">
        <f t="shared" ref="B33:B40" si="14">A30</f>
        <v>0.0486144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0.0486144;</v>
      </c>
      <c r="J33" s="5" t="str">
        <f t="shared" si="0"/>
        <v>parameter Types.MolarDensity_M S_in_start = 0.0486144;</v>
      </c>
      <c r="L33" t="str">
        <f t="shared" si="13"/>
        <v>S_in_start = 0.0486144,</v>
      </c>
      <c r="P33" s="5" t="str">
        <f t="shared" si="12"/>
        <v>ash_start = 7.86867,</v>
      </c>
      <c r="R33" s="13" t="str">
        <f t="shared" si="5"/>
        <v>digester.ash_start = 7.86867,</v>
      </c>
      <c r="T33" t="str">
        <f t="shared" si="6"/>
        <v>uit.digester.ash_start = 7.86867,</v>
      </c>
    </row>
    <row r="34" spans="1:20" x14ac:dyDescent="0.3">
      <c r="A34" s="8" t="s">
        <v>181</v>
      </c>
      <c r="B34" s="2" t="str">
        <f t="shared" si="14"/>
        <v>0.0041804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0.0041804;</v>
      </c>
      <c r="J34" s="5" t="str">
        <f t="shared" si="0"/>
        <v>parameter Types.MolarDensity_M S_ip_start = 0.0041804;</v>
      </c>
      <c r="L34" t="str">
        <f t="shared" si="13"/>
        <v>S_ip_start = 0.0041804,</v>
      </c>
      <c r="P34" s="5" t="str">
        <f t="shared" si="12"/>
        <v>X_lig_start = 0.266717,</v>
      </c>
      <c r="R34" s="13" t="str">
        <f t="shared" si="5"/>
        <v>digester.X_lig_start = 0.266717,</v>
      </c>
      <c r="T34" t="str">
        <f t="shared" si="6"/>
        <v>uit.digester.X_lig_start = 0.266717,</v>
      </c>
    </row>
    <row r="35" spans="1:20" x14ac:dyDescent="0.3">
      <c r="A35" s="8" t="s">
        <v>182</v>
      </c>
      <c r="B35" s="2" t="str">
        <f t="shared" si="14"/>
        <v>0.105552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0.105552;</v>
      </c>
      <c r="J35" s="5" t="str">
        <f t="shared" si="0"/>
        <v>parameter Types.MolarDensity_M S_cat_start = 0.105552;</v>
      </c>
      <c r="L35" t="str">
        <f t="shared" si="13"/>
        <v>S_cat_start = 0.105552,</v>
      </c>
      <c r="P35" s="5" t="str">
        <f>L43</f>
        <v>S_gas_h2_start = 4.5979e-05,</v>
      </c>
      <c r="R35" s="13" t="str">
        <f t="shared" si="5"/>
        <v>digester.S_gas_h2_start = 4.5979e-05,</v>
      </c>
      <c r="T35" t="str">
        <f t="shared" si="6"/>
        <v>uit.digester.S_gas_h2_start = 4.5979e-05,</v>
      </c>
    </row>
    <row r="36" spans="1:20" x14ac:dyDescent="0.3">
      <c r="A36" s="8" t="s">
        <v>183</v>
      </c>
      <c r="B36" s="2" t="str">
        <f t="shared" si="14"/>
        <v>6.80009e-06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6.80009e-06;</v>
      </c>
      <c r="J36" s="5" t="str">
        <f t="shared" si="0"/>
        <v>parameter Types.MolarDensity_M S_ca_start = 6.80009e-06;</v>
      </c>
      <c r="L36" t="str">
        <f t="shared" si="13"/>
        <v>S_ca_start = 6.80009e-06,</v>
      </c>
      <c r="P36" s="5" t="str">
        <f>L44</f>
        <v>S_gas_ch4_start = 1.18341,</v>
      </c>
      <c r="R36" s="13" t="str">
        <f t="shared" si="5"/>
        <v>digester.S_gas_ch4_start = 1.18341,</v>
      </c>
      <c r="T36" t="str">
        <f t="shared" si="6"/>
        <v>uit.digester.S_gas_ch4_start = 1.18341,</v>
      </c>
    </row>
    <row r="37" spans="1:20" x14ac:dyDescent="0.3">
      <c r="A37" s="8" t="s">
        <v>184</v>
      </c>
      <c r="B37" s="2" t="str">
        <f t="shared" si="14"/>
        <v>7.20234e-06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7.20234e-06;</v>
      </c>
      <c r="J37" s="5" t="str">
        <f t="shared" si="0"/>
        <v>parameter Types.MolarDensity_M S_mg_start = 7.20234e-06;</v>
      </c>
      <c r="L37" t="str">
        <f t="shared" si="13"/>
        <v>S_mg_start = 7.20234e-06,</v>
      </c>
      <c r="P37" s="5" t="str">
        <f>L45</f>
        <v>S_gas_co2_start = 0.0197639,</v>
      </c>
      <c r="R37" s="13" t="str">
        <f t="shared" si="5"/>
        <v>digester.S_gas_co2_start = 0.0197639,</v>
      </c>
      <c r="T37" t="str">
        <f t="shared" si="6"/>
        <v>uit.digester.S_gas_co2_start = 0.0197639,</v>
      </c>
    </row>
    <row r="38" spans="1:20" x14ac:dyDescent="0.3">
      <c r="A38" s="8" t="s">
        <v>185</v>
      </c>
      <c r="B38" s="2" t="str">
        <f t="shared" si="14"/>
        <v>0.061095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0.061095;</v>
      </c>
      <c r="J38" s="5" t="str">
        <f t="shared" si="0"/>
        <v>parameter Types.MolarDensity_M S_an_start = 0.061095;</v>
      </c>
      <c r="L38" t="str">
        <f t="shared" si="13"/>
        <v>S_an_start = 0.061095,</v>
      </c>
      <c r="P38" s="5" t="str">
        <f>L46</f>
        <v>S_gas_nh3_start = 2.89279e-07,</v>
      </c>
      <c r="R38" s="13" t="str">
        <f t="shared" si="5"/>
        <v>digester.S_gas_nh3_start = 2.89279e-07,</v>
      </c>
      <c r="T38" t="str">
        <f t="shared" si="6"/>
        <v>uit.digester.S_gas_nh3_start = 2.89279e-07,</v>
      </c>
    </row>
    <row r="39" spans="1:20" x14ac:dyDescent="0.3">
      <c r="A39" s="8" t="s">
        <v>186</v>
      </c>
      <c r="B39" s="2" t="str">
        <f t="shared" si="14"/>
        <v>7.86867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7.86867;</v>
      </c>
      <c r="J39" s="5" t="str">
        <f t="shared" si="0"/>
        <v>parameter SI.MassConcentration ash_start = 7.86867;</v>
      </c>
      <c r="L39" t="str">
        <f t="shared" si="13"/>
        <v>ash_start = 7.86867,</v>
      </c>
      <c r="P39" s="5" t="str">
        <f>L48</f>
        <v>X_acp_start = 1.98538e-19,</v>
      </c>
      <c r="R39" s="13" t="str">
        <f t="shared" si="5"/>
        <v>digester.X_acp_start = 1.98538e-19,</v>
      </c>
      <c r="T39" t="str">
        <f t="shared" si="6"/>
        <v>uit.digester.X_acp_start = 1.98538e-19,</v>
      </c>
    </row>
    <row r="40" spans="1:20" x14ac:dyDescent="0.3">
      <c r="A40" s="8" t="s">
        <v>187</v>
      </c>
      <c r="B40" s="2" t="str">
        <f t="shared" si="14"/>
        <v>0.266717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0.266717;</v>
      </c>
      <c r="J40" s="5" t="str">
        <f t="shared" si="0"/>
        <v>parameter SI.MassConcentration X_lig_start = 0.266717;</v>
      </c>
      <c r="L40" t="str">
        <f t="shared" si="13"/>
        <v>X_lig_start = 0.266717,</v>
      </c>
      <c r="P40" s="5" t="str">
        <f>L49</f>
        <v>X_stru_start = -4.81656e-20,</v>
      </c>
      <c r="R40" s="13" t="str">
        <f t="shared" si="5"/>
        <v>digester.X_stru_start = -4.81656e-20,</v>
      </c>
      <c r="T40" t="str">
        <f t="shared" si="6"/>
        <v>uit.digester.X_stru_start = -4.81656e-20,</v>
      </c>
    </row>
    <row r="41" spans="1:20" x14ac:dyDescent="0.3">
      <c r="A41" s="8" t="s">
        <v>188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-4.07459e-15,</v>
      </c>
      <c r="R41" s="13" t="str">
        <f t="shared" si="5"/>
        <v>digester.X_ccm_start = -4.07459e-15,</v>
      </c>
      <c r="T41" t="str">
        <f t="shared" si="6"/>
        <v>uit.digester.X_ccm_start = -4.07459e-15,</v>
      </c>
    </row>
    <row r="42" spans="1:20" ht="15" thickBot="1" x14ac:dyDescent="0.35">
      <c r="A42" s="8" t="s">
        <v>189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716434e-12</v>
      </c>
      <c r="R42" s="13" t="str">
        <f t="shared" si="5"/>
        <v>digester.X_mag_start = 716434e-12</v>
      </c>
      <c r="T42" t="str">
        <f t="shared" si="6"/>
        <v>uit.digester.X_mag_start = 716434e-12</v>
      </c>
    </row>
    <row r="43" spans="1:20" ht="15" thickBot="1" x14ac:dyDescent="0.35">
      <c r="A43" s="8" t="s">
        <v>190</v>
      </c>
      <c r="B43" s="2" t="str">
        <f>A38</f>
        <v>4.5979e-05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4.5979e-05;</v>
      </c>
      <c r="J43" s="5" t="str">
        <f t="shared" si="0"/>
        <v>parameter SI.MassConcentration S_gas_h2_start = 4.5979e-05;</v>
      </c>
      <c r="L43" t="str">
        <f>SUBSTITUTE(_xlfn.CONCAT(F43," ",G43," ",H43),";",",")</f>
        <v>S_gas_h2_start = 4.5979e-05,</v>
      </c>
      <c r="P43" s="3" t="s">
        <v>62</v>
      </c>
      <c r="R43" s="13"/>
    </row>
    <row r="44" spans="1:20" ht="16.2" thickBot="1" x14ac:dyDescent="0.35">
      <c r="A44" s="8" t="s">
        <v>191</v>
      </c>
      <c r="B44" s="2" t="str">
        <f t="shared" ref="B44:B46" si="15">A39</f>
        <v>1.18341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1.18341;</v>
      </c>
      <c r="J44" s="5" t="str">
        <f t="shared" si="0"/>
        <v>parameter SI.MassConcentration S_gas_ch4_start = 1.18341;</v>
      </c>
      <c r="L44" t="str">
        <f>SUBSTITUTE(_xlfn.CONCAT(F44," ",G44," ",H44),";",",")</f>
        <v>S_gas_ch4_start = 1.18341,</v>
      </c>
      <c r="P44" s="11" t="str">
        <f>L53</f>
        <v>xi_start = 0.00303443,</v>
      </c>
      <c r="R44" s="14" t="str">
        <f>_xlfn.CONCAT("limPID.",P44)</f>
        <v>limPID.xi_start = 0.00303443,</v>
      </c>
      <c r="T44" t="str">
        <f t="shared" si="6"/>
        <v>uit.limPID.xi_start = 0.00303443,</v>
      </c>
    </row>
    <row r="45" spans="1:20" ht="15" thickBot="1" x14ac:dyDescent="0.35">
      <c r="A45" s="9" t="s">
        <v>192</v>
      </c>
      <c r="B45" s="2" t="str">
        <f t="shared" si="15"/>
        <v>0.0197639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0.0197639;</v>
      </c>
      <c r="J45" s="5" t="str">
        <f t="shared" si="0"/>
        <v>parameter Types.MolarDensity_M S_gas_co2_start = 0.0197639;</v>
      </c>
      <c r="L45" t="str">
        <f>SUBSTITUTE(_xlfn.CONCAT(F45," ",G45," ",H45),";",",")</f>
        <v>S_gas_co2_start = 0.0197639,</v>
      </c>
    </row>
    <row r="46" spans="1:20" ht="15" thickBot="1" x14ac:dyDescent="0.35">
      <c r="A46" s="3" t="s">
        <v>62</v>
      </c>
      <c r="B46" s="2" t="str">
        <f t="shared" si="15"/>
        <v>2.89279e-07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2.89279e-07;</v>
      </c>
      <c r="J46" s="5" t="str">
        <f t="shared" si="0"/>
        <v>parameter Types.MolarDensity_M S_gas_nh3_start = 2.89279e-07;</v>
      </c>
      <c r="L46" t="str">
        <f>SUBSTITUTE(_xlfn.CONCAT(F46," ",G46," ",H46),";",",")</f>
        <v>S_gas_nh3_start = 2.89279e-07,</v>
      </c>
    </row>
    <row r="47" spans="1:20" ht="15" thickBot="1" x14ac:dyDescent="0.35">
      <c r="A47" s="10">
        <v>3.0344299999999999E-3</v>
      </c>
      <c r="J47" s="5" t="str">
        <f t="shared" si="0"/>
        <v xml:space="preserve">    </v>
      </c>
    </row>
    <row r="48" spans="1:20" x14ac:dyDescent="0.3">
      <c r="B48" s="2" t="str">
        <f>A42</f>
        <v>1.98538e-19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1.98538e-19;</v>
      </c>
      <c r="J48" s="5" t="str">
        <f t="shared" si="0"/>
        <v>parameter Types.MolarDensity_M X_acp_start = 1.98538e-19;</v>
      </c>
      <c r="L48" t="str">
        <f>SUBSTITUTE(_xlfn.CONCAT(F48," ",G48," ",H48),";",",")</f>
        <v>X_acp_start = 1.98538e-19,</v>
      </c>
    </row>
    <row r="49" spans="2:12" x14ac:dyDescent="0.3">
      <c r="B49" s="2" t="str">
        <f t="shared" ref="B49:B51" si="16">A43</f>
        <v>-4.81656e-20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-4.81656e-20;</v>
      </c>
      <c r="J49" s="5" t="str">
        <f t="shared" si="0"/>
        <v>parameter Types.MolarDensity_M X_stru_start = -4.81656e-20;</v>
      </c>
      <c r="L49" t="str">
        <f>SUBSTITUTE(_xlfn.CONCAT(F49," ",G49," ",H49),";",",")</f>
        <v>X_stru_start = -4.81656e-20,</v>
      </c>
    </row>
    <row r="50" spans="2:12" x14ac:dyDescent="0.3">
      <c r="B50" s="2" t="str">
        <f t="shared" si="16"/>
        <v>-4.07459e-15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-4.07459e-15;</v>
      </c>
      <c r="J50" s="5" t="str">
        <f t="shared" si="0"/>
        <v>parameter Types.MolarDensity_M X_ccm_start = -4.07459e-15;</v>
      </c>
      <c r="L50" t="str">
        <f>SUBSTITUTE(_xlfn.CONCAT(F50," ",G50," ",H50),";",",")</f>
        <v>X_ccm_start = -4.07459e-15,</v>
      </c>
    </row>
    <row r="51" spans="2:12" ht="15" thickBot="1" x14ac:dyDescent="0.35">
      <c r="B51" s="2" t="str">
        <f t="shared" si="16"/>
        <v>716434e-12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716434e-12;</v>
      </c>
      <c r="J51" s="6" t="str">
        <f t="shared" si="0"/>
        <v>parameter Types.MolarDensity_M X_mag_start = 716434e-12;</v>
      </c>
      <c r="L51" t="str">
        <f>SUBSTITUTE(_xlfn.CONCAT(F51," ",G51," ",H51),";","")</f>
        <v>X_mag_start = 716434e-12</v>
      </c>
    </row>
    <row r="53" spans="2:12" ht="15.6" x14ac:dyDescent="0.3">
      <c r="L53" s="1" t="str">
        <f>_xlfn.CONCAT("xi_start ="," ",A47,",")</f>
        <v>xi_start = 0.00303443,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C2CB-3812-4BB0-A5AC-8693286DE831}">
  <dimension ref="A1:T98"/>
  <sheetViews>
    <sheetView zoomScale="80" zoomScaleNormal="80" workbookViewId="0">
      <selection sqref="A1:T44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>
        <v>2.4503200000000001</v>
      </c>
      <c r="B3" s="2">
        <f>A3</f>
        <v>2.4503200000000001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2.45032;</v>
      </c>
      <c r="J3" s="5" t="str">
        <f t="shared" ref="J3:J51" si="0">_xlfn.CONCAT(D3," ",E3," ",F3," ",G3," ",H3,)</f>
        <v>parameter SI.MassConcentration X_su_start = 2.45032;</v>
      </c>
      <c r="L3" t="str">
        <f t="shared" ref="L3:L9" si="1">SUBSTITUTE(_xlfn.CONCAT(F3," ",G3," ",H3),";",",")</f>
        <v>X_su_start = 2.45032,</v>
      </c>
      <c r="P3" s="4" t="str">
        <f>L3</f>
        <v>X_su_start = 2.45032,</v>
      </c>
      <c r="R3" s="12" t="str">
        <f>_xlfn.CONCAT("digester.",P3)</f>
        <v>digester.X_su_start = 2.45032,</v>
      </c>
      <c r="T3" t="str">
        <f>_xlfn.CONCAT("uit.",R3)</f>
        <v>uit.digester.X_su_start = 2.45032,</v>
      </c>
    </row>
    <row r="4" spans="1:20" x14ac:dyDescent="0.3">
      <c r="A4" s="8">
        <v>0.64214099999999996</v>
      </c>
      <c r="B4" s="2">
        <f t="shared" ref="B4:B9" si="2">A4</f>
        <v>0.64214099999999996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0.642141;</v>
      </c>
      <c r="J4" s="5" t="str">
        <f t="shared" si="0"/>
        <v>parameter SI.MassConcentration X_aa_start = 0.642141;</v>
      </c>
      <c r="L4" t="str">
        <f t="shared" si="1"/>
        <v>X_aa_start = 0.642141,</v>
      </c>
      <c r="P4" s="5" t="str">
        <f t="shared" ref="P4:P9" si="4">L4</f>
        <v>X_aa_start = 0.642141,</v>
      </c>
      <c r="R4" s="13" t="str">
        <f t="shared" ref="R4:R42" si="5">_xlfn.CONCAT("digester.",P4)</f>
        <v>digester.X_aa_start = 0.642141,</v>
      </c>
      <c r="T4" t="str">
        <f t="shared" ref="T4:T44" si="6">_xlfn.CONCAT("uit.",R4)</f>
        <v>uit.digester.X_aa_start = 0.642141,</v>
      </c>
    </row>
    <row r="5" spans="1:20" x14ac:dyDescent="0.3">
      <c r="A5" s="8">
        <v>0.21770600000000001</v>
      </c>
      <c r="B5" s="2">
        <f t="shared" si="2"/>
        <v>0.21770600000000001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0.217706;</v>
      </c>
      <c r="J5" s="5" t="str">
        <f t="shared" si="0"/>
        <v>parameter SI.MassConcentration X_fa_start = 0.217706;</v>
      </c>
      <c r="L5" t="str">
        <f t="shared" si="1"/>
        <v>X_fa_start = 0.217706,</v>
      </c>
      <c r="P5" s="5" t="str">
        <f t="shared" si="4"/>
        <v>X_fa_start = 0.217706,</v>
      </c>
      <c r="R5" s="13" t="str">
        <f t="shared" si="5"/>
        <v>digester.X_fa_start = 0.217706,</v>
      </c>
      <c r="T5" t="str">
        <f t="shared" si="6"/>
        <v>uit.digester.X_fa_start = 0.217706,</v>
      </c>
    </row>
    <row r="6" spans="1:20" x14ac:dyDescent="0.3">
      <c r="A6" s="8">
        <v>0.48458899999999999</v>
      </c>
      <c r="B6" s="2">
        <f t="shared" si="2"/>
        <v>0.48458899999999999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0.484589;</v>
      </c>
      <c r="J6" s="5" t="str">
        <f t="shared" si="0"/>
        <v>parameter SI.MassConcentration X_c4_start = 0.484589;</v>
      </c>
      <c r="L6" t="str">
        <f t="shared" si="1"/>
        <v>X_c4_start = 0.484589,</v>
      </c>
      <c r="P6" s="5" t="str">
        <f t="shared" si="4"/>
        <v>X_c4_start = 0.484589,</v>
      </c>
      <c r="R6" s="13" t="str">
        <f t="shared" si="5"/>
        <v>digester.X_c4_start = 0.484589,</v>
      </c>
      <c r="T6" t="str">
        <f t="shared" si="6"/>
        <v>uit.digester.X_c4_start = 0.484589,</v>
      </c>
    </row>
    <row r="7" spans="1:20" x14ac:dyDescent="0.3">
      <c r="A7" s="8">
        <v>0.300039</v>
      </c>
      <c r="B7" s="2">
        <f t="shared" si="2"/>
        <v>0.300039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0.300039;</v>
      </c>
      <c r="J7" s="5" t="str">
        <f t="shared" si="0"/>
        <v>parameter SI.MassConcentration X_pro_start = 0.300039;</v>
      </c>
      <c r="L7" t="str">
        <f t="shared" si="1"/>
        <v>X_pro_start = 0.300039,</v>
      </c>
      <c r="P7" s="5" t="str">
        <f t="shared" si="4"/>
        <v>X_pro_start = 0.300039,</v>
      </c>
      <c r="R7" s="13" t="str">
        <f t="shared" si="5"/>
        <v>digester.X_pro_start = 0.300039,</v>
      </c>
      <c r="T7" t="str">
        <f t="shared" si="6"/>
        <v>uit.digester.X_pro_start = 0.300039,</v>
      </c>
    </row>
    <row r="8" spans="1:20" x14ac:dyDescent="0.3">
      <c r="A8" s="8">
        <v>1.2302900000000001</v>
      </c>
      <c r="B8" s="2">
        <f t="shared" si="2"/>
        <v>1.2302900000000001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1.23029;</v>
      </c>
      <c r="J8" s="5" t="str">
        <f t="shared" si="0"/>
        <v>parameter SI.MassConcentration X_ac_start = 1.23029;</v>
      </c>
      <c r="L8" t="str">
        <f t="shared" si="1"/>
        <v>X_ac_start = 1.23029,</v>
      </c>
      <c r="P8" s="5" t="str">
        <f t="shared" si="4"/>
        <v>X_ac_start = 1.23029,</v>
      </c>
      <c r="R8" s="13" t="str">
        <f t="shared" si="5"/>
        <v>digester.X_ac_start = 1.23029,</v>
      </c>
      <c r="T8" t="str">
        <f t="shared" si="6"/>
        <v>uit.digester.X_ac_start = 1.23029,</v>
      </c>
    </row>
    <row r="9" spans="1:20" x14ac:dyDescent="0.3">
      <c r="A9" s="8">
        <v>0.58361700000000005</v>
      </c>
      <c r="B9" s="2">
        <f t="shared" si="2"/>
        <v>0.58361700000000005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0.583617;</v>
      </c>
      <c r="J9" s="5" t="str">
        <f t="shared" si="0"/>
        <v>parameter SI.MassConcentration X_h2_start = 0.583617;</v>
      </c>
      <c r="L9" t="str">
        <f t="shared" si="1"/>
        <v>X_h2_start = 0.583617,</v>
      </c>
      <c r="P9" s="5" t="str">
        <f t="shared" si="4"/>
        <v>X_h2_start = 0.583617,</v>
      </c>
      <c r="R9" s="13" t="str">
        <f t="shared" si="5"/>
        <v>digester.X_h2_start = 0.583617,</v>
      </c>
      <c r="T9" t="str">
        <f t="shared" si="6"/>
        <v>uit.digester.X_h2_start = 0.583617,</v>
      </c>
    </row>
    <row r="10" spans="1:20" x14ac:dyDescent="0.3">
      <c r="A10" s="8">
        <v>0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0,</v>
      </c>
      <c r="R10" s="13" t="str">
        <f t="shared" si="5"/>
        <v>digester.X_c_start = 0,</v>
      </c>
      <c r="T10" t="str">
        <f t="shared" si="6"/>
        <v>uit.digester.X_c_start = 0,</v>
      </c>
    </row>
    <row r="11" spans="1:20" x14ac:dyDescent="0.3">
      <c r="A11" s="8">
        <v>30.2866</v>
      </c>
      <c r="B11" s="2">
        <f>A10</f>
        <v>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0;</v>
      </c>
      <c r="J11" s="5" t="str">
        <f t="shared" si="0"/>
        <v>parameter SI.MassConcentration X_c_start = 0;</v>
      </c>
      <c r="L11" t="str">
        <f>SUBSTITUTE(_xlfn.CONCAT(F11," ",G11," ",H11),";",",")</f>
        <v>X_c_start = 0,</v>
      </c>
      <c r="P11" s="5" t="str">
        <f t="shared" si="7"/>
        <v>X_i_start = 30.2866,</v>
      </c>
      <c r="R11" s="13" t="str">
        <f t="shared" si="5"/>
        <v>digester.X_i_start = 30.2866,</v>
      </c>
      <c r="T11" t="str">
        <f t="shared" si="6"/>
        <v>uit.digester.X_i_start = 30.2866,</v>
      </c>
    </row>
    <row r="12" spans="1:20" x14ac:dyDescent="0.3">
      <c r="A12" s="8">
        <v>1.0171399999999999</v>
      </c>
      <c r="B12" s="2">
        <f t="shared" ref="B12:B27" si="8">A11</f>
        <v>30.2866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30.2866;</v>
      </c>
      <c r="J12" s="5" t="str">
        <f t="shared" si="0"/>
        <v>parameter SI.MassConcentration X_i_start = 30.2866;</v>
      </c>
      <c r="L12" t="str">
        <f>SUBSTITUTE(_xlfn.CONCAT(F12," ",G12," ",H12),";",",")</f>
        <v>X_i_start = 30.2866,</v>
      </c>
      <c r="P12" s="5" t="str">
        <f t="shared" si="7"/>
        <v>X_ch_start = {1.01714,0.961376,3.56827},</v>
      </c>
      <c r="R12" s="13" t="str">
        <f t="shared" si="5"/>
        <v>digester.X_ch_start = {1.01714,0.961376,3.56827},</v>
      </c>
      <c r="T12" t="str">
        <f t="shared" si="6"/>
        <v>uit.digester.X_ch_start = {1.01714,0.961376,3.56827},</v>
      </c>
    </row>
    <row r="13" spans="1:20" x14ac:dyDescent="0.3">
      <c r="A13" s="8">
        <v>0.96137600000000001</v>
      </c>
      <c r="B13" s="2">
        <f t="shared" si="8"/>
        <v>1.0171399999999999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{1.01714,0.961376,3.56827};</v>
      </c>
      <c r="J13" s="5" t="str">
        <f t="shared" si="0"/>
        <v>parameter SI.MassConcentration X_ch_start[3] = {1.01714,0.961376,3.56827};</v>
      </c>
      <c r="L13" t="str">
        <f>SUBSTITUTE(SUBSTITUTE(_xlfn.CONCAT(F13," ",G13," ",H13),";",","),"[3]","")</f>
        <v>X_ch_start = {1.01714,0.961376,3.56827},</v>
      </c>
      <c r="P13" s="5" t="str">
        <f t="shared" si="7"/>
        <v>X_pr_start = {0.277166,0.849628},</v>
      </c>
      <c r="R13" s="13" t="str">
        <f t="shared" si="5"/>
        <v>digester.X_pr_start = {0.277166,0.849628},</v>
      </c>
      <c r="T13" t="str">
        <f t="shared" si="6"/>
        <v>uit.digester.X_pr_start = {0.277166,0.849628},</v>
      </c>
    </row>
    <row r="14" spans="1:20" x14ac:dyDescent="0.3">
      <c r="A14" s="8">
        <v>3.5682700000000001</v>
      </c>
      <c r="B14" s="2">
        <f t="shared" si="8"/>
        <v>0.96137600000000001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{0.277166,0.849628};</v>
      </c>
      <c r="J14" s="5" t="str">
        <f t="shared" si="0"/>
        <v>parameter SI.MassConcentration X_pr_start[2] = {0.277166,0.849628};</v>
      </c>
      <c r="L14" t="str">
        <f>SUBSTITUTE(SUBSTITUTE(_xlfn.CONCAT(F14," ",G14," ",H14),";",","),"[2]","")</f>
        <v>X_pr_start = {0.277166,0.849628},</v>
      </c>
      <c r="P14" s="5" t="str">
        <f t="shared" si="7"/>
        <v>X_li_start = 0.680779,</v>
      </c>
      <c r="R14" s="13" t="str">
        <f t="shared" si="5"/>
        <v>digester.X_li_start = 0.680779,</v>
      </c>
      <c r="T14" t="str">
        <f t="shared" si="6"/>
        <v>uit.digester.X_li_start = 0.680779,</v>
      </c>
    </row>
    <row r="15" spans="1:20" x14ac:dyDescent="0.3">
      <c r="A15" s="8">
        <v>0.27716600000000002</v>
      </c>
      <c r="B15" s="2">
        <f t="shared" si="8"/>
        <v>3.5682700000000001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0.680779;</v>
      </c>
      <c r="J15" s="5" t="str">
        <f t="shared" si="0"/>
        <v>parameter SI.MassConcentration X_li_start = 0.680779;</v>
      </c>
      <c r="L15" t="str">
        <f>SUBSTITUTE(_xlfn.CONCAT(F15," ",G15," ",H15),";",",")</f>
        <v>X_li_start = 0.680779,</v>
      </c>
      <c r="P15" s="5" t="str">
        <f t="shared" si="7"/>
        <v>X_p_start = 0.441521,</v>
      </c>
      <c r="R15" s="13" t="str">
        <f t="shared" si="5"/>
        <v>digester.X_p_start = 0.441521,</v>
      </c>
      <c r="T15" t="str">
        <f t="shared" si="6"/>
        <v>uit.digester.X_p_start = 0.441521,</v>
      </c>
    </row>
    <row r="16" spans="1:20" x14ac:dyDescent="0.3">
      <c r="A16" s="8">
        <v>0.84962800000000005</v>
      </c>
      <c r="B16" s="2">
        <f t="shared" si="8"/>
        <v>0.27716600000000002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0.441521;</v>
      </c>
      <c r="J16" s="5" t="str">
        <f t="shared" si="0"/>
        <v>parameter SI.MassConcentration X_p_start = 0.441521;</v>
      </c>
      <c r="L16" t="str">
        <f>SUBSTITUTE(_xlfn.CONCAT(F16," ",G16," ",H16),";",",")</f>
        <v>X_p_start = 0.441521,</v>
      </c>
      <c r="P16" s="5" t="str">
        <f t="shared" ref="P16:P23" si="9">L20</f>
        <v>S_i_start = 0.11038,</v>
      </c>
      <c r="R16" s="13" t="str">
        <f t="shared" si="5"/>
        <v>digester.S_i_start = 0.11038,</v>
      </c>
      <c r="T16" t="str">
        <f t="shared" si="6"/>
        <v>uit.digester.S_i_start = 0.11038,</v>
      </c>
    </row>
    <row r="17" spans="1:20" x14ac:dyDescent="0.3">
      <c r="A17" s="8">
        <v>0.68077900000000002</v>
      </c>
      <c r="B17" s="2">
        <f t="shared" si="8"/>
        <v>0.84962800000000005</v>
      </c>
      <c r="D17" t="s">
        <v>19</v>
      </c>
      <c r="J17" s="5" t="str">
        <f t="shared" si="0"/>
        <v xml:space="preserve">//    </v>
      </c>
      <c r="P17" s="5" t="str">
        <f t="shared" si="9"/>
        <v>S_su_start = 0.0312654,</v>
      </c>
      <c r="R17" s="13" t="str">
        <f t="shared" si="5"/>
        <v>digester.S_su_start = 0.0312654,</v>
      </c>
      <c r="T17" t="str">
        <f t="shared" si="6"/>
        <v>uit.digester.S_su_start = 0.0312654,</v>
      </c>
    </row>
    <row r="18" spans="1:20" x14ac:dyDescent="0.3">
      <c r="A18" s="8">
        <v>0.441521</v>
      </c>
      <c r="B18" s="2">
        <f t="shared" si="8"/>
        <v>0.68077900000000002</v>
      </c>
      <c r="D18" t="s">
        <v>19</v>
      </c>
      <c r="J18" s="5" t="str">
        <f t="shared" si="0"/>
        <v xml:space="preserve">//    </v>
      </c>
      <c r="P18" s="5" t="str">
        <f t="shared" si="9"/>
        <v>S_aa_start = 0.0331619,</v>
      </c>
      <c r="R18" s="13" t="str">
        <f t="shared" si="5"/>
        <v>digester.S_aa_start = 0.0331619,</v>
      </c>
      <c r="T18" t="str">
        <f t="shared" si="6"/>
        <v>uit.digester.S_aa_start = 0.0331619,</v>
      </c>
    </row>
    <row r="19" spans="1:20" x14ac:dyDescent="0.3">
      <c r="A19" s="8">
        <v>0.11038000000000001</v>
      </c>
      <c r="B19" s="2">
        <f t="shared" si="8"/>
        <v>0.441521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0.060033,</v>
      </c>
      <c r="R19" s="13" t="str">
        <f t="shared" si="5"/>
        <v>digester.S_fa_start = 0.060033,</v>
      </c>
      <c r="T19" t="str">
        <f t="shared" si="6"/>
        <v>uit.digester.S_fa_start = 0.060033,</v>
      </c>
    </row>
    <row r="20" spans="1:20" x14ac:dyDescent="0.3">
      <c r="A20" s="8">
        <v>3.1265399999999999E-2</v>
      </c>
      <c r="B20" s="2">
        <f t="shared" si="8"/>
        <v>0.11038000000000001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0.11038;</v>
      </c>
      <c r="J20" s="5" t="str">
        <f t="shared" si="0"/>
        <v>parameter SI.MassConcentration S_i_start = 0.11038;</v>
      </c>
      <c r="L20" t="str">
        <f t="shared" ref="L20:L27" si="10">SUBSTITUTE(_xlfn.CONCAT(F20," ",G20," ",H20),";",",")</f>
        <v>S_i_start = 0.11038,</v>
      </c>
      <c r="P20" s="5" t="str">
        <f t="shared" si="9"/>
        <v>S_va_start = 0.00515186,</v>
      </c>
      <c r="R20" s="13" t="str">
        <f t="shared" si="5"/>
        <v>digester.S_va_start = 0.00515186,</v>
      </c>
      <c r="T20" t="str">
        <f t="shared" si="6"/>
        <v>uit.digester.S_va_start = 0.00515186,</v>
      </c>
    </row>
    <row r="21" spans="1:20" x14ac:dyDescent="0.3">
      <c r="A21" s="8">
        <v>3.3161900000000001E-2</v>
      </c>
      <c r="B21" s="2">
        <f t="shared" si="8"/>
        <v>3.1265399999999999E-2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0.0312654;</v>
      </c>
      <c r="J21" s="5" t="str">
        <f t="shared" si="0"/>
        <v>parameter SI.MassConcentration S_su_start = 0.0312654;</v>
      </c>
      <c r="L21" t="str">
        <f t="shared" si="10"/>
        <v>S_su_start = 0.0312654,</v>
      </c>
      <c r="P21" s="5" t="str">
        <f t="shared" si="9"/>
        <v>S_bu_start = 0.00886538,</v>
      </c>
      <c r="R21" s="13" t="str">
        <f t="shared" si="5"/>
        <v>digester.S_bu_start = 0.00886538,</v>
      </c>
      <c r="T21" t="str">
        <f t="shared" si="6"/>
        <v>uit.digester.S_bu_start = 0.00886538,</v>
      </c>
    </row>
    <row r="22" spans="1:20" x14ac:dyDescent="0.3">
      <c r="A22" s="8">
        <v>6.0033000000000003E-2</v>
      </c>
      <c r="B22" s="2">
        <f t="shared" si="8"/>
        <v>3.3161900000000001E-2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0.0331619;</v>
      </c>
      <c r="J22" s="5" t="str">
        <f t="shared" si="0"/>
        <v>parameter SI.MassConcentration S_aa_start = 0.0331619;</v>
      </c>
      <c r="L22" t="str">
        <f t="shared" si="10"/>
        <v>S_aa_start = 0.0331619,</v>
      </c>
      <c r="P22" s="5" t="str">
        <f t="shared" si="9"/>
        <v>S_pro_start = 0.0695124,</v>
      </c>
      <c r="R22" s="13" t="str">
        <f t="shared" si="5"/>
        <v>digester.S_pro_start = 0.0695124,</v>
      </c>
      <c r="T22" t="str">
        <f t="shared" si="6"/>
        <v>uit.digester.S_pro_start = 0.0695124,</v>
      </c>
    </row>
    <row r="23" spans="1:20" x14ac:dyDescent="0.3">
      <c r="A23" s="8">
        <v>5.1518600000000003E-3</v>
      </c>
      <c r="B23" s="2">
        <f t="shared" si="8"/>
        <v>6.0033000000000003E-2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0.060033;</v>
      </c>
      <c r="J23" s="5" t="str">
        <f t="shared" si="0"/>
        <v>parameter SI.MassConcentration S_fa_start = 0.060033;</v>
      </c>
      <c r="L23" t="str">
        <f t="shared" si="10"/>
        <v>S_fa_start = 0.060033,</v>
      </c>
      <c r="P23" s="5" t="str">
        <f t="shared" si="9"/>
        <v>S_ac_start = 0.0843876,</v>
      </c>
      <c r="R23" s="13" t="str">
        <f t="shared" si="5"/>
        <v>digester.S_ac_start = 0.0843876,</v>
      </c>
      <c r="T23" t="str">
        <f t="shared" si="6"/>
        <v>uit.digester.S_ac_start = 0.0843876,</v>
      </c>
    </row>
    <row r="24" spans="1:20" x14ac:dyDescent="0.3">
      <c r="A24" s="8">
        <v>8.8653800000000008E-3</v>
      </c>
      <c r="B24" s="2">
        <f t="shared" si="8"/>
        <v>5.1518600000000003E-3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0.00515186;</v>
      </c>
      <c r="J24" s="5" t="str">
        <f t="shared" si="0"/>
        <v>parameter SI.MassConcentration S_va_start = 0.00515186;</v>
      </c>
      <c r="L24" t="str">
        <f t="shared" si="10"/>
        <v>S_va_start = 0.00515186,</v>
      </c>
      <c r="P24" s="5" t="str">
        <f>L29</f>
        <v>S_h2_start = 0.000000868444,</v>
      </c>
      <c r="R24" s="13" t="str">
        <f t="shared" si="5"/>
        <v>digester.S_h2_start = 0.000000868444,</v>
      </c>
      <c r="T24" t="str">
        <f t="shared" si="6"/>
        <v>uit.digester.S_h2_start = 0.000000868444,</v>
      </c>
    </row>
    <row r="25" spans="1:20" x14ac:dyDescent="0.3">
      <c r="A25" s="8">
        <v>6.9512400000000002E-2</v>
      </c>
      <c r="B25" s="2">
        <f t="shared" si="8"/>
        <v>8.8653800000000008E-3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0.00886538;</v>
      </c>
      <c r="J25" s="5" t="str">
        <f t="shared" si="0"/>
        <v>parameter SI.MassConcentration S_bu_start = 0.00886538;</v>
      </c>
      <c r="L25" t="str">
        <f t="shared" si="10"/>
        <v>S_bu_start = 0.00886538,</v>
      </c>
      <c r="P25" s="5" t="str">
        <f>L30</f>
        <v>S_ch4_start = 0.318074,</v>
      </c>
      <c r="R25" s="13" t="str">
        <f t="shared" si="5"/>
        <v>digester.S_ch4_start = 0.318074,</v>
      </c>
      <c r="T25" t="str">
        <f t="shared" si="6"/>
        <v>uit.digester.S_ch4_start = 0.318074,</v>
      </c>
    </row>
    <row r="26" spans="1:20" x14ac:dyDescent="0.3">
      <c r="A26" s="8">
        <v>8.4387599999999993E-2</v>
      </c>
      <c r="B26" s="2">
        <f t="shared" si="8"/>
        <v>6.9512400000000002E-2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0.0695124;</v>
      </c>
      <c r="J26" s="5" t="str">
        <f t="shared" si="0"/>
        <v>parameter SI.MassConcentration S_pro_start = 0.0695124;</v>
      </c>
      <c r="L26" t="str">
        <f t="shared" si="10"/>
        <v>S_pro_start = 0.0695124,</v>
      </c>
      <c r="P26" s="5" t="str">
        <f t="shared" ref="P26:P34" si="12">L32</f>
        <v>S_ic_start = 0.214817,</v>
      </c>
      <c r="R26" s="13" t="str">
        <f t="shared" si="5"/>
        <v>digester.S_ic_start = 0.214817,</v>
      </c>
      <c r="T26" t="str">
        <f t="shared" si="6"/>
        <v>uit.digester.S_ic_start = 0.214817,</v>
      </c>
    </row>
    <row r="27" spans="1:20" x14ac:dyDescent="0.3">
      <c r="A27" s="8">
        <v>8.6844399999999996E-7</v>
      </c>
      <c r="B27" s="2">
        <f t="shared" si="8"/>
        <v>8.4387599999999993E-2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0.0843876;</v>
      </c>
      <c r="J27" s="5" t="str">
        <f t="shared" si="0"/>
        <v>parameter SI.MassConcentration S_ac_start = 0.0843876;</v>
      </c>
      <c r="L27" t="str">
        <f t="shared" si="10"/>
        <v>S_ac_start = 0.0843876,</v>
      </c>
      <c r="P27" s="5" t="str">
        <f t="shared" si="12"/>
        <v>S_in_start = 0.128697,</v>
      </c>
      <c r="R27" s="13" t="str">
        <f t="shared" si="5"/>
        <v>digester.S_in_start = 0.128697,</v>
      </c>
      <c r="T27" t="str">
        <f t="shared" si="6"/>
        <v>uit.digester.S_in_start = 0.128697,</v>
      </c>
    </row>
    <row r="28" spans="1:20" x14ac:dyDescent="0.3">
      <c r="A28" s="8">
        <v>0.31807400000000002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0.00309045,</v>
      </c>
      <c r="R28" s="13" t="str">
        <f t="shared" si="5"/>
        <v>digester.S_ip_start = 0.00309045,</v>
      </c>
      <c r="T28" t="str">
        <f t="shared" si="6"/>
        <v>uit.digester.S_ip_start = 0.00309045,</v>
      </c>
    </row>
    <row r="29" spans="1:20" x14ac:dyDescent="0.3">
      <c r="A29" s="8">
        <v>0.21481700000000001</v>
      </c>
      <c r="B29" s="2">
        <f>A27</f>
        <v>8.6844399999999996E-7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0.000000868444;</v>
      </c>
      <c r="J29" s="5" t="str">
        <f t="shared" si="0"/>
        <v>parameter SI.MassConcentration S_h2_start = 0.000000868444;</v>
      </c>
      <c r="L29" t="str">
        <f>SUBSTITUTE(_xlfn.CONCAT(F29," ",G29," ",H29),";",",")</f>
        <v>S_h2_start = 0.000000868444,</v>
      </c>
      <c r="P29" s="5" t="str">
        <f t="shared" si="12"/>
        <v>S_cat_start = 0.101077,</v>
      </c>
      <c r="R29" s="13" t="str">
        <f t="shared" si="5"/>
        <v>digester.S_cat_start = 0.101077,</v>
      </c>
      <c r="T29" t="str">
        <f t="shared" si="6"/>
        <v>uit.digester.S_cat_start = 0.101077,</v>
      </c>
    </row>
    <row r="30" spans="1:20" x14ac:dyDescent="0.3">
      <c r="A30" s="8">
        <v>0.12869700000000001</v>
      </c>
      <c r="B30" s="2">
        <f>A28</f>
        <v>0.31807400000000002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0.318074;</v>
      </c>
      <c r="J30" s="5" t="str">
        <f t="shared" si="0"/>
        <v>parameter SI.MassConcentration S_ch4_start = 0.318074;</v>
      </c>
      <c r="L30" t="str">
        <f>SUBSTITUTE(_xlfn.CONCAT(F30," ",G30," ",H30),";",",")</f>
        <v>S_ch4_start = 0.318074,</v>
      </c>
      <c r="P30" s="5" t="str">
        <f t="shared" si="12"/>
        <v>S_ca_start = 0.0000486156,</v>
      </c>
      <c r="R30" s="13" t="str">
        <f t="shared" si="5"/>
        <v>digester.S_ca_start = 0.0000486156,</v>
      </c>
      <c r="T30" t="str">
        <f t="shared" si="6"/>
        <v>uit.digester.S_ca_start = 0.0000486156,</v>
      </c>
    </row>
    <row r="31" spans="1:20" x14ac:dyDescent="0.3">
      <c r="A31" s="8">
        <v>3.0904499999999998E-3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0.000135432,</v>
      </c>
      <c r="R31" s="13" t="str">
        <f t="shared" si="5"/>
        <v>digester.S_mg_start = 0.000135432,</v>
      </c>
      <c r="T31" t="str">
        <f t="shared" si="6"/>
        <v>uit.digester.S_mg_start = 0.000135432,</v>
      </c>
    </row>
    <row r="32" spans="1:20" x14ac:dyDescent="0.3">
      <c r="A32" s="8">
        <v>0.101077</v>
      </c>
      <c r="B32" s="2">
        <f>A29</f>
        <v>0.21481700000000001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0.214817;</v>
      </c>
      <c r="J32" s="5" t="str">
        <f t="shared" si="0"/>
        <v>parameter Types.MolarDensity_M S_ic_start = 0.214817;</v>
      </c>
      <c r="L32" t="str">
        <f t="shared" ref="L32:L40" si="13">SUBSTITUTE(_xlfn.CONCAT(F32," ",G32," ",H32),";",",")</f>
        <v>S_ic_start = 0.214817,</v>
      </c>
      <c r="P32" s="5" t="str">
        <f t="shared" si="12"/>
        <v>S_an_start = 0.01696,</v>
      </c>
      <c r="R32" s="13" t="str">
        <f t="shared" si="5"/>
        <v>digester.S_an_start = 0.01696,</v>
      </c>
      <c r="T32" t="str">
        <f>_xlfn.CONCAT("uit.",R32)</f>
        <v>uit.digester.S_an_start = 0.01696,</v>
      </c>
    </row>
    <row r="33" spans="1:20" x14ac:dyDescent="0.3">
      <c r="A33" s="8">
        <v>4.8615600000000003E-5</v>
      </c>
      <c r="B33" s="2">
        <f t="shared" ref="B33:B40" si="14">A30</f>
        <v>0.12869700000000001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0.128697;</v>
      </c>
      <c r="J33" s="5" t="str">
        <f t="shared" si="0"/>
        <v>parameter Types.MolarDensity_M S_in_start = 0.128697;</v>
      </c>
      <c r="L33" t="str">
        <f t="shared" si="13"/>
        <v>S_in_start = 0.128697,</v>
      </c>
      <c r="P33" s="5" t="str">
        <f t="shared" si="12"/>
        <v>ash_start = 14.2056,</v>
      </c>
      <c r="R33" s="13" t="str">
        <f t="shared" si="5"/>
        <v>digester.ash_start = 14.2056,</v>
      </c>
      <c r="T33" t="str">
        <f t="shared" si="6"/>
        <v>uit.digester.ash_start = 14.2056,</v>
      </c>
    </row>
    <row r="34" spans="1:20" x14ac:dyDescent="0.3">
      <c r="A34" s="8">
        <v>1.35432E-4</v>
      </c>
      <c r="B34" s="2">
        <f t="shared" si="14"/>
        <v>3.0904499999999998E-3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0.00309045;</v>
      </c>
      <c r="J34" s="5" t="str">
        <f t="shared" si="0"/>
        <v>parameter Types.MolarDensity_M S_ip_start = 0.00309045;</v>
      </c>
      <c r="L34" t="str">
        <f t="shared" si="13"/>
        <v>S_ip_start = 0.00309045,</v>
      </c>
      <c r="P34" s="5" t="str">
        <f t="shared" si="12"/>
        <v>X_lig_start = 8.82497,</v>
      </c>
      <c r="R34" s="13" t="str">
        <f t="shared" si="5"/>
        <v>digester.X_lig_start = 8.82497,</v>
      </c>
      <c r="T34" t="str">
        <f t="shared" si="6"/>
        <v>uit.digester.X_lig_start = 8.82497,</v>
      </c>
    </row>
    <row r="35" spans="1:20" x14ac:dyDescent="0.3">
      <c r="A35" s="8">
        <v>1.6959999999999999E-2</v>
      </c>
      <c r="B35" s="2">
        <f t="shared" si="14"/>
        <v>0.101077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0.101077;</v>
      </c>
      <c r="J35" s="5" t="str">
        <f t="shared" si="0"/>
        <v>parameter Types.MolarDensity_M S_cat_start = 0.101077;</v>
      </c>
      <c r="L35" t="str">
        <f t="shared" si="13"/>
        <v>S_cat_start = 0.101077,</v>
      </c>
      <c r="P35" s="5" t="str">
        <f>L43</f>
        <v>S_gas_h2_start = 0.0000058092,</v>
      </c>
      <c r="R35" s="13" t="str">
        <f t="shared" si="5"/>
        <v>digester.S_gas_h2_start = 0.0000058092,</v>
      </c>
      <c r="T35" t="str">
        <f t="shared" si="6"/>
        <v>uit.digester.S_gas_h2_start = 0.0000058092,</v>
      </c>
    </row>
    <row r="36" spans="1:20" x14ac:dyDescent="0.3">
      <c r="A36" s="8">
        <v>14.2056</v>
      </c>
      <c r="B36" s="2">
        <f t="shared" si="14"/>
        <v>4.8615600000000003E-5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0.0000486156;</v>
      </c>
      <c r="J36" s="5" t="str">
        <f t="shared" si="0"/>
        <v>parameter Types.MolarDensity_M S_ca_start = 0.0000486156;</v>
      </c>
      <c r="L36" t="str">
        <f t="shared" si="13"/>
        <v>S_ca_start = 0.0000486156,</v>
      </c>
      <c r="P36" s="5" t="str">
        <f>L44</f>
        <v>S_gas_ch4_start = 1.26145,</v>
      </c>
      <c r="R36" s="13" t="str">
        <f t="shared" si="5"/>
        <v>digester.S_gas_ch4_start = 1.26145,</v>
      </c>
      <c r="T36" t="str">
        <f t="shared" si="6"/>
        <v>uit.digester.S_gas_ch4_start = 1.26145,</v>
      </c>
    </row>
    <row r="37" spans="1:20" x14ac:dyDescent="0.3">
      <c r="A37" s="8">
        <v>8.8249700000000004</v>
      </c>
      <c r="B37" s="2">
        <f t="shared" si="14"/>
        <v>1.35432E-4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0.000135432;</v>
      </c>
      <c r="J37" s="5" t="str">
        <f t="shared" si="0"/>
        <v>parameter Types.MolarDensity_M S_mg_start = 0.000135432;</v>
      </c>
      <c r="L37" t="str">
        <f t="shared" si="13"/>
        <v>S_mg_start = 0.000135432,</v>
      </c>
      <c r="P37" s="5" t="str">
        <f>L45</f>
        <v>S_gas_co2_start = 0.0166756,</v>
      </c>
      <c r="R37" s="13" t="str">
        <f t="shared" si="5"/>
        <v>digester.S_gas_co2_start = 0.0166756,</v>
      </c>
      <c r="T37" t="str">
        <f t="shared" si="6"/>
        <v>uit.digester.S_gas_co2_start = 0.0166756,</v>
      </c>
    </row>
    <row r="38" spans="1:20" x14ac:dyDescent="0.3">
      <c r="A38" s="8">
        <v>5.8092000000000002E-6</v>
      </c>
      <c r="B38" s="2">
        <f t="shared" si="14"/>
        <v>1.6959999999999999E-2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0.01696;</v>
      </c>
      <c r="J38" s="5" t="str">
        <f t="shared" si="0"/>
        <v>parameter Types.MolarDensity_M S_an_start = 0.01696;</v>
      </c>
      <c r="L38" t="str">
        <f t="shared" si="13"/>
        <v>S_an_start = 0.01696,</v>
      </c>
      <c r="P38" s="5" t="str">
        <f>L46</f>
        <v>S_gas_nh3_start = 0.00000216266,</v>
      </c>
      <c r="R38" s="13" t="str">
        <f t="shared" si="5"/>
        <v>digester.S_gas_nh3_start = 0.00000216266,</v>
      </c>
      <c r="T38" t="str">
        <f t="shared" si="6"/>
        <v>uit.digester.S_gas_nh3_start = 0.00000216266,</v>
      </c>
    </row>
    <row r="39" spans="1:20" x14ac:dyDescent="0.3">
      <c r="A39" s="8">
        <v>1.26145</v>
      </c>
      <c r="B39" s="2">
        <f t="shared" si="14"/>
        <v>14.2056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14.2056;</v>
      </c>
      <c r="J39" s="5" t="str">
        <f t="shared" si="0"/>
        <v>parameter SI.MassConcentration ash_start = 14.2056;</v>
      </c>
      <c r="L39" t="str">
        <f t="shared" si="13"/>
        <v>ash_start = 14.2056,</v>
      </c>
      <c r="P39" s="5" t="str">
        <f>L48</f>
        <v>X_acp_start = 0.000000000014278,</v>
      </c>
      <c r="R39" s="13" t="str">
        <f t="shared" si="5"/>
        <v>digester.X_acp_start = 0.000000000014278,</v>
      </c>
      <c r="T39" t="str">
        <f t="shared" si="6"/>
        <v>uit.digester.X_acp_start = 0.000000000014278,</v>
      </c>
    </row>
    <row r="40" spans="1:20" x14ac:dyDescent="0.3">
      <c r="A40" s="8">
        <v>1.6675599999999999E-2</v>
      </c>
      <c r="B40" s="2">
        <f t="shared" si="14"/>
        <v>8.8249700000000004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8.82497;</v>
      </c>
      <c r="J40" s="5" t="str">
        <f t="shared" si="0"/>
        <v>parameter SI.MassConcentration X_lig_start = 8.82497;</v>
      </c>
      <c r="L40" t="str">
        <f t="shared" si="13"/>
        <v>X_lig_start = 8.82497,</v>
      </c>
      <c r="P40" s="5" t="str">
        <f>L49</f>
        <v>X_stru_start = 0.00935081,</v>
      </c>
      <c r="R40" s="13" t="str">
        <f t="shared" si="5"/>
        <v>digester.X_stru_start = 0.00935081,</v>
      </c>
      <c r="T40" t="str">
        <f t="shared" si="6"/>
        <v>uit.digester.X_stru_start = 0.00935081,</v>
      </c>
    </row>
    <row r="41" spans="1:20" x14ac:dyDescent="0.3">
      <c r="A41" s="8">
        <v>2.1626599999999998E-6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0.00499138,</v>
      </c>
      <c r="R41" s="13" t="str">
        <f t="shared" si="5"/>
        <v>digester.X_ccm_start = 0.00499138,</v>
      </c>
      <c r="T41" t="str">
        <f t="shared" si="6"/>
        <v>uit.digester.X_ccm_start = 0.00499138,</v>
      </c>
    </row>
    <row r="42" spans="1:20" ht="15" thickBot="1" x14ac:dyDescent="0.35">
      <c r="A42" s="8">
        <v>1.4278E-11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0.00000000408333</v>
      </c>
      <c r="R42" s="13" t="str">
        <f t="shared" si="5"/>
        <v>digester.X_mag_start = 0.00000000408333</v>
      </c>
      <c r="T42" t="str">
        <f t="shared" si="6"/>
        <v>uit.digester.X_mag_start = 0.00000000408333</v>
      </c>
    </row>
    <row r="43" spans="1:20" ht="15" thickBot="1" x14ac:dyDescent="0.35">
      <c r="A43" s="8">
        <v>9.3508099999999993E-3</v>
      </c>
      <c r="B43" s="2">
        <f>A38</f>
        <v>5.8092000000000002E-6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0.0000058092;</v>
      </c>
      <c r="J43" s="5" t="str">
        <f t="shared" si="0"/>
        <v>parameter SI.MassConcentration S_gas_h2_start = 0.0000058092;</v>
      </c>
      <c r="L43" t="str">
        <f>SUBSTITUTE(_xlfn.CONCAT(F43," ",G43," ",H43),";",",")</f>
        <v>S_gas_h2_start = 0.0000058092,</v>
      </c>
      <c r="P43" s="3" t="s">
        <v>62</v>
      </c>
      <c r="R43" s="13"/>
    </row>
    <row r="44" spans="1:20" ht="16.2" thickBot="1" x14ac:dyDescent="0.35">
      <c r="A44" s="8">
        <v>4.9913800000000001E-3</v>
      </c>
      <c r="B44" s="2">
        <f t="shared" ref="B44:B46" si="15">A39</f>
        <v>1.26145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1.26145;</v>
      </c>
      <c r="J44" s="5" t="str">
        <f t="shared" si="0"/>
        <v>parameter SI.MassConcentration S_gas_ch4_start = 1.26145;</v>
      </c>
      <c r="L44" t="str">
        <f>SUBSTITUTE(_xlfn.CONCAT(F44," ",G44," ",H44),";",",")</f>
        <v>S_gas_ch4_start = 1.26145,</v>
      </c>
      <c r="P44" s="11" t="str">
        <f>L53</f>
        <v>xi_start = 0.0277251,</v>
      </c>
      <c r="R44" s="14" t="str">
        <f>_xlfn.CONCAT("limPID.",P44)</f>
        <v>limPID.xi_start = 0.0277251,</v>
      </c>
      <c r="T44" t="str">
        <f t="shared" si="6"/>
        <v>uit.limPID.xi_start = 0.0277251,</v>
      </c>
    </row>
    <row r="45" spans="1:20" ht="15" thickBot="1" x14ac:dyDescent="0.35">
      <c r="A45" s="9">
        <v>4.0833300000000002E-9</v>
      </c>
      <c r="B45" s="2">
        <f t="shared" si="15"/>
        <v>1.6675599999999999E-2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0.0166756;</v>
      </c>
      <c r="J45" s="5" t="str">
        <f t="shared" si="0"/>
        <v>parameter Types.MolarDensity_M S_gas_co2_start = 0.0166756;</v>
      </c>
      <c r="L45" t="str">
        <f>SUBSTITUTE(_xlfn.CONCAT(F45," ",G45," ",H45),";",",")</f>
        <v>S_gas_co2_start = 0.0166756,</v>
      </c>
    </row>
    <row r="46" spans="1:20" ht="15" thickBot="1" x14ac:dyDescent="0.35">
      <c r="A46" s="3" t="s">
        <v>62</v>
      </c>
      <c r="B46" s="2">
        <f t="shared" si="15"/>
        <v>2.1626599999999998E-6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0.00000216266;</v>
      </c>
      <c r="J46" s="5" t="str">
        <f t="shared" si="0"/>
        <v>parameter Types.MolarDensity_M S_gas_nh3_start = 0.00000216266;</v>
      </c>
      <c r="L46" t="str">
        <f>SUBSTITUTE(_xlfn.CONCAT(F46," ",G46," ",H46),";",",")</f>
        <v>S_gas_nh3_start = 0.00000216266,</v>
      </c>
    </row>
    <row r="47" spans="1:20" ht="15" thickBot="1" x14ac:dyDescent="0.35">
      <c r="A47" s="10">
        <v>2.7725099999999999E-2</v>
      </c>
      <c r="J47" s="5" t="str">
        <f t="shared" si="0"/>
        <v xml:space="preserve">    </v>
      </c>
    </row>
    <row r="48" spans="1:20" x14ac:dyDescent="0.3">
      <c r="B48" s="2">
        <f>A42</f>
        <v>1.4278E-11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0.000000000014278;</v>
      </c>
      <c r="J48" s="5" t="str">
        <f t="shared" si="0"/>
        <v>parameter Types.MolarDensity_M X_acp_start = 0.000000000014278;</v>
      </c>
      <c r="L48" t="str">
        <f>SUBSTITUTE(_xlfn.CONCAT(F48," ",G48," ",H48),";",",")</f>
        <v>X_acp_start = 0.000000000014278,</v>
      </c>
    </row>
    <row r="49" spans="2:12" x14ac:dyDescent="0.3">
      <c r="B49" s="2">
        <f t="shared" ref="B49:B51" si="16">A43</f>
        <v>9.3508099999999993E-3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0.00935081;</v>
      </c>
      <c r="J49" s="5" t="str">
        <f t="shared" si="0"/>
        <v>parameter Types.MolarDensity_M X_stru_start = 0.00935081;</v>
      </c>
      <c r="L49" t="str">
        <f>SUBSTITUTE(_xlfn.CONCAT(F49," ",G49," ",H49),";",",")</f>
        <v>X_stru_start = 0.00935081,</v>
      </c>
    </row>
    <row r="50" spans="2:12" x14ac:dyDescent="0.3">
      <c r="B50" s="2">
        <f t="shared" si="16"/>
        <v>4.9913800000000001E-3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0.00499138;</v>
      </c>
      <c r="J50" s="5" t="str">
        <f t="shared" si="0"/>
        <v>parameter Types.MolarDensity_M X_ccm_start = 0.00499138;</v>
      </c>
      <c r="L50" t="str">
        <f>SUBSTITUTE(_xlfn.CONCAT(F50," ",G50," ",H50),";",",")</f>
        <v>X_ccm_start = 0.00499138,</v>
      </c>
    </row>
    <row r="51" spans="2:12" ht="15" thickBot="1" x14ac:dyDescent="0.35">
      <c r="B51" s="2">
        <f t="shared" si="16"/>
        <v>4.0833300000000002E-9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0.00000000408333;</v>
      </c>
      <c r="J51" s="6" t="str">
        <f t="shared" si="0"/>
        <v>parameter Types.MolarDensity_M X_mag_start = 0.00000000408333;</v>
      </c>
      <c r="L51" t="str">
        <f>SUBSTITUTE(_xlfn.CONCAT(F51," ",G51," ",H51),";","")</f>
        <v>X_mag_start = 0.00000000408333</v>
      </c>
    </row>
    <row r="53" spans="2:12" ht="15.6" x14ac:dyDescent="0.3">
      <c r="L53" s="1" t="str">
        <f>_xlfn.CONCAT("xi_start ="," ",A47,",")</f>
        <v>xi_start = 0.0277251,</v>
      </c>
    </row>
    <row r="56" spans="2:12" x14ac:dyDescent="0.3">
      <c r="B56" s="2"/>
    </row>
    <row r="57" spans="2:12" x14ac:dyDescent="0.3">
      <c r="B57" s="2"/>
    </row>
    <row r="58" spans="2:12" x14ac:dyDescent="0.3">
      <c r="B58" s="2"/>
    </row>
    <row r="59" spans="2:12" x14ac:dyDescent="0.3">
      <c r="B59" s="2"/>
    </row>
    <row r="60" spans="2:12" x14ac:dyDescent="0.3">
      <c r="B60" s="2"/>
    </row>
    <row r="61" spans="2:12" x14ac:dyDescent="0.3">
      <c r="B61" s="2"/>
    </row>
    <row r="62" spans="2:12" x14ac:dyDescent="0.3">
      <c r="B62" s="2"/>
    </row>
    <row r="63" spans="2:12" x14ac:dyDescent="0.3">
      <c r="B63" s="2"/>
    </row>
    <row r="64" spans="2:12" x14ac:dyDescent="0.3">
      <c r="B64" s="2"/>
      <c r="C64" t="s">
        <v>235</v>
      </c>
    </row>
    <row r="65" spans="2:3" x14ac:dyDescent="0.3">
      <c r="B65" s="2"/>
    </row>
    <row r="66" spans="2:3" x14ac:dyDescent="0.3">
      <c r="C66" s="2"/>
    </row>
    <row r="67" spans="2:3" x14ac:dyDescent="0.3">
      <c r="C67" s="2"/>
    </row>
    <row r="68" spans="2:3" x14ac:dyDescent="0.3">
      <c r="C68" s="2"/>
    </row>
    <row r="69" spans="2:3" x14ac:dyDescent="0.3">
      <c r="C69" s="2"/>
    </row>
    <row r="70" spans="2:3" x14ac:dyDescent="0.3">
      <c r="C70" s="2"/>
    </row>
    <row r="71" spans="2:3" x14ac:dyDescent="0.3">
      <c r="C71" s="2"/>
    </row>
    <row r="72" spans="2:3" x14ac:dyDescent="0.3">
      <c r="C72" s="2"/>
    </row>
    <row r="73" spans="2:3" x14ac:dyDescent="0.3">
      <c r="C73" s="2"/>
    </row>
    <row r="74" spans="2:3" x14ac:dyDescent="0.3">
      <c r="C74" s="2"/>
    </row>
    <row r="75" spans="2:3" x14ac:dyDescent="0.3">
      <c r="C75" s="2"/>
    </row>
    <row r="76" spans="2:3" x14ac:dyDescent="0.3">
      <c r="C76" s="2"/>
    </row>
    <row r="77" spans="2:3" x14ac:dyDescent="0.3">
      <c r="C77" s="2"/>
    </row>
    <row r="78" spans="2:3" x14ac:dyDescent="0.3">
      <c r="C78" s="2"/>
    </row>
    <row r="79" spans="2:3" x14ac:dyDescent="0.3">
      <c r="C79" s="2"/>
    </row>
    <row r="80" spans="2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DB5E-DAA6-40BC-B490-B949F107D501}">
  <dimension ref="A1:T98"/>
  <sheetViews>
    <sheetView topLeftCell="A12" zoomScale="80" zoomScaleNormal="80" workbookViewId="0">
      <selection activeCell="B7" sqref="B7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3"/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 t="s">
        <v>279</v>
      </c>
      <c r="B3" s="2" t="str">
        <f>A3</f>
        <v>2.30253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2.30253;</v>
      </c>
      <c r="J3" s="5" t="str">
        <f t="shared" ref="J3:J51" si="0">_xlfn.CONCAT(D3," ",E3," ",F3," ",G3," ",H3,)</f>
        <v>parameter SI.MassConcentration X_su_start = 2.30253;</v>
      </c>
      <c r="L3" t="str">
        <f t="shared" ref="L3:L9" si="1">SUBSTITUTE(_xlfn.CONCAT(F3," ",G3," ",H3),";",",")</f>
        <v>X_su_start = 2.30253,</v>
      </c>
      <c r="P3" s="4" t="str">
        <f>L3</f>
        <v>X_su_start = 2.30253,</v>
      </c>
      <c r="R3" s="12" t="str">
        <f>_xlfn.CONCAT("digester.",P3)</f>
        <v>digester.X_su_start = 2.30253,</v>
      </c>
      <c r="T3" t="str">
        <f>_xlfn.CONCAT("uit.",R3)</f>
        <v>uit.digester.X_su_start = 2.30253,</v>
      </c>
    </row>
    <row r="4" spans="1:20" x14ac:dyDescent="0.3">
      <c r="A4" s="8" t="s">
        <v>280</v>
      </c>
      <c r="B4" s="2" t="str">
        <f t="shared" ref="B4:B9" si="2">A4</f>
        <v>0.58842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0.58842;</v>
      </c>
      <c r="J4" s="5" t="str">
        <f t="shared" si="0"/>
        <v>parameter SI.MassConcentration X_aa_start = 0.58842;</v>
      </c>
      <c r="L4" t="str">
        <f t="shared" si="1"/>
        <v>X_aa_start = 0.58842,</v>
      </c>
      <c r="P4" s="5" t="str">
        <f t="shared" ref="P4:P9" si="4">L4</f>
        <v>X_aa_start = 0.58842,</v>
      </c>
      <c r="R4" s="13" t="str">
        <f t="shared" ref="R4:R42" si="5">_xlfn.CONCAT("digester.",P4)</f>
        <v>digester.X_aa_start = 0.58842,</v>
      </c>
      <c r="T4" t="str">
        <f t="shared" ref="T4:T44" si="6">_xlfn.CONCAT("uit.",R4)</f>
        <v>uit.digester.X_aa_start = 0.58842,</v>
      </c>
    </row>
    <row r="5" spans="1:20" x14ac:dyDescent="0.3">
      <c r="A5" s="8" t="s">
        <v>281</v>
      </c>
      <c r="B5" s="2" t="str">
        <f t="shared" si="2"/>
        <v>0.200007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0.200007;</v>
      </c>
      <c r="J5" s="5" t="str">
        <f t="shared" si="0"/>
        <v>parameter SI.MassConcentration X_fa_start = 0.200007;</v>
      </c>
      <c r="L5" t="str">
        <f t="shared" si="1"/>
        <v>X_fa_start = 0.200007,</v>
      </c>
      <c r="P5" s="5" t="str">
        <f t="shared" si="4"/>
        <v>X_fa_start = 0.200007,</v>
      </c>
      <c r="R5" s="13" t="str">
        <f t="shared" si="5"/>
        <v>digester.X_fa_start = 0.200007,</v>
      </c>
      <c r="T5" t="str">
        <f t="shared" si="6"/>
        <v>uit.digester.X_fa_start = 0.200007,</v>
      </c>
    </row>
    <row r="6" spans="1:20" x14ac:dyDescent="0.3">
      <c r="A6" s="8" t="s">
        <v>282</v>
      </c>
      <c r="B6" s="2" t="str">
        <f t="shared" si="2"/>
        <v>0.449131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0.449131;</v>
      </c>
      <c r="J6" s="5" t="str">
        <f t="shared" si="0"/>
        <v>parameter SI.MassConcentration X_c4_start = 0.449131;</v>
      </c>
      <c r="L6" t="str">
        <f t="shared" si="1"/>
        <v>X_c4_start = 0.449131,</v>
      </c>
      <c r="P6" s="5" t="str">
        <f t="shared" si="4"/>
        <v>X_c4_start = 0.449131,</v>
      </c>
      <c r="R6" s="13" t="str">
        <f t="shared" si="5"/>
        <v>digester.X_c4_start = 0.449131,</v>
      </c>
      <c r="T6" t="str">
        <f t="shared" si="6"/>
        <v>uit.digester.X_c4_start = 0.449131,</v>
      </c>
    </row>
    <row r="7" spans="1:20" x14ac:dyDescent="0.3">
      <c r="A7" s="8" t="s">
        <v>283</v>
      </c>
      <c r="B7" s="2" t="str">
        <f t="shared" si="2"/>
        <v>0.280706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0.280706;</v>
      </c>
      <c r="J7" s="5" t="str">
        <f t="shared" si="0"/>
        <v>parameter SI.MassConcentration X_pro_start = 0.280706;</v>
      </c>
      <c r="L7" t="str">
        <f t="shared" si="1"/>
        <v>X_pro_start = 0.280706,</v>
      </c>
      <c r="P7" s="5" t="str">
        <f t="shared" si="4"/>
        <v>X_pro_start = 0.280706,</v>
      </c>
      <c r="R7" s="13" t="str">
        <f t="shared" si="5"/>
        <v>digester.X_pro_start = 0.280706,</v>
      </c>
      <c r="T7" t="str">
        <f t="shared" si="6"/>
        <v>uit.digester.X_pro_start = 0.280706,</v>
      </c>
    </row>
    <row r="8" spans="1:20" x14ac:dyDescent="0.3">
      <c r="A8" s="8" t="s">
        <v>284</v>
      </c>
      <c r="B8" s="2" t="str">
        <f t="shared" si="2"/>
        <v>1.15432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1.15432;</v>
      </c>
      <c r="J8" s="5" t="str">
        <f t="shared" si="0"/>
        <v>parameter SI.MassConcentration X_ac_start = 1.15432;</v>
      </c>
      <c r="L8" t="str">
        <f t="shared" si="1"/>
        <v>X_ac_start = 1.15432,</v>
      </c>
      <c r="P8" s="5" t="str">
        <f t="shared" si="4"/>
        <v>X_ac_start = 1.15432,</v>
      </c>
      <c r="R8" s="13" t="str">
        <f t="shared" si="5"/>
        <v>digester.X_ac_start = 1.15432,</v>
      </c>
      <c r="T8" t="str">
        <f t="shared" si="6"/>
        <v>uit.digester.X_ac_start = 1.15432,</v>
      </c>
    </row>
    <row r="9" spans="1:20" x14ac:dyDescent="0.3">
      <c r="A9" s="8" t="s">
        <v>285</v>
      </c>
      <c r="B9" s="2" t="str">
        <f t="shared" si="2"/>
        <v>0.544998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0.544998;</v>
      </c>
      <c r="J9" s="5" t="str">
        <f t="shared" si="0"/>
        <v>parameter SI.MassConcentration X_h2_start = 0.544998;</v>
      </c>
      <c r="L9" t="str">
        <f t="shared" si="1"/>
        <v>X_h2_start = 0.544998,</v>
      </c>
      <c r="P9" s="5" t="str">
        <f t="shared" si="4"/>
        <v>X_h2_start = 0.544998,</v>
      </c>
      <c r="R9" s="13" t="str">
        <f t="shared" si="5"/>
        <v>digester.X_h2_start = 0.544998,</v>
      </c>
      <c r="T9" t="str">
        <f t="shared" si="6"/>
        <v>uit.digester.X_h2_start = 0.544998,</v>
      </c>
    </row>
    <row r="10" spans="1:20" x14ac:dyDescent="0.3">
      <c r="A10" s="8" t="s">
        <v>47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0,</v>
      </c>
      <c r="R10" s="13" t="str">
        <f t="shared" si="5"/>
        <v>digester.X_c_start = 0,</v>
      </c>
      <c r="T10" t="str">
        <f t="shared" si="6"/>
        <v>uit.digester.X_c_start = 0,</v>
      </c>
    </row>
    <row r="11" spans="1:20" x14ac:dyDescent="0.3">
      <c r="A11" s="8" t="s">
        <v>286</v>
      </c>
      <c r="B11" s="2" t="str">
        <f>A10</f>
        <v>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0;</v>
      </c>
      <c r="J11" s="5" t="str">
        <f t="shared" si="0"/>
        <v>parameter SI.MassConcentration X_c_start = 0;</v>
      </c>
      <c r="L11" t="str">
        <f>SUBSTITUTE(_xlfn.CONCAT(F11," ",G11," ",H11),";",",")</f>
        <v>X_c_start = 0,</v>
      </c>
      <c r="P11" s="5" t="str">
        <f t="shared" si="7"/>
        <v>X_i_start = 27.4996,</v>
      </c>
      <c r="R11" s="13" t="str">
        <f t="shared" si="5"/>
        <v>digester.X_i_start = 27.4996,</v>
      </c>
      <c r="T11" t="str">
        <f t="shared" si="6"/>
        <v>uit.digester.X_i_start = 27.4996,</v>
      </c>
    </row>
    <row r="12" spans="1:20" x14ac:dyDescent="0.3">
      <c r="A12" s="8" t="s">
        <v>287</v>
      </c>
      <c r="B12" s="2" t="str">
        <f t="shared" ref="B12:B27" si="8">A11</f>
        <v>27.4996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27.4996;</v>
      </c>
      <c r="J12" s="5" t="str">
        <f t="shared" si="0"/>
        <v>parameter SI.MassConcentration X_i_start = 27.4996;</v>
      </c>
      <c r="L12" t="str">
        <f>SUBSTITUTE(_xlfn.CONCAT(F12," ",G12," ",H12),";",",")</f>
        <v>X_i_start = 27.4996,</v>
      </c>
      <c r="P12" s="5" t="str">
        <f t="shared" si="7"/>
        <v>X_ch_start = {0.955696,0.90393,3.35553},</v>
      </c>
      <c r="R12" s="13" t="str">
        <f t="shared" si="5"/>
        <v>digester.X_ch_start = {0.955696,0.90393,3.35553},</v>
      </c>
      <c r="T12" t="str">
        <f t="shared" si="6"/>
        <v>uit.digester.X_ch_start = {0.955696,0.90393,3.35553},</v>
      </c>
    </row>
    <row r="13" spans="1:20" x14ac:dyDescent="0.3">
      <c r="A13" s="8" t="s">
        <v>288</v>
      </c>
      <c r="B13" s="2" t="str">
        <f t="shared" si="8"/>
        <v>0.955696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{0.955696,0.90393,3.35553};</v>
      </c>
      <c r="J13" s="5" t="str">
        <f t="shared" si="0"/>
        <v>parameter SI.MassConcentration X_ch_start[3] = {0.955696,0.90393,3.35553};</v>
      </c>
      <c r="L13" t="str">
        <f>SUBSTITUTE(SUBSTITUTE(_xlfn.CONCAT(F13," ",G13," ",H13),";",","),"[3]","")</f>
        <v>X_ch_start = {0.955696,0.90393,3.35553},</v>
      </c>
      <c r="P13" s="5" t="str">
        <f t="shared" si="7"/>
        <v>X_pr_start = {0.255591,0.769892},</v>
      </c>
      <c r="R13" s="13" t="str">
        <f t="shared" si="5"/>
        <v>digester.X_pr_start = {0.255591,0.769892},</v>
      </c>
      <c r="T13" t="str">
        <f t="shared" si="6"/>
        <v>uit.digester.X_pr_start = {0.255591,0.769892},</v>
      </c>
    </row>
    <row r="14" spans="1:20" x14ac:dyDescent="0.3">
      <c r="A14" s="8" t="s">
        <v>289</v>
      </c>
      <c r="B14" s="2" t="str">
        <f t="shared" si="8"/>
        <v>0.90393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{0.255591,0.769892};</v>
      </c>
      <c r="J14" s="5" t="str">
        <f t="shared" si="0"/>
        <v>parameter SI.MassConcentration X_pr_start[2] = {0.255591,0.769892};</v>
      </c>
      <c r="L14" t="str">
        <f>SUBSTITUTE(SUBSTITUTE(_xlfn.CONCAT(F14," ",G14," ",H14),";",","),"[2]","")</f>
        <v>X_pr_start = {0.255591,0.769892},</v>
      </c>
      <c r="P14" s="5" t="str">
        <f t="shared" si="7"/>
        <v>X_li_start = 0.625897,</v>
      </c>
      <c r="R14" s="13" t="str">
        <f t="shared" si="5"/>
        <v>digester.X_li_start = 0.625897,</v>
      </c>
      <c r="T14" t="str">
        <f t="shared" si="6"/>
        <v>uit.digester.X_li_start = 0.625897,</v>
      </c>
    </row>
    <row r="15" spans="1:20" x14ac:dyDescent="0.3">
      <c r="A15" s="8" t="s">
        <v>290</v>
      </c>
      <c r="B15" s="2" t="str">
        <f t="shared" si="8"/>
        <v>3.35553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0.625897;</v>
      </c>
      <c r="J15" s="5" t="str">
        <f t="shared" si="0"/>
        <v>parameter SI.MassConcentration X_li_start = 0.625897;</v>
      </c>
      <c r="L15" t="str">
        <f>SUBSTITUTE(_xlfn.CONCAT(F15," ",G15," ",H15),";",",")</f>
        <v>X_li_start = 0.625897,</v>
      </c>
      <c r="P15" s="5" t="str">
        <f t="shared" si="7"/>
        <v>X_p_start = 0.412613,</v>
      </c>
      <c r="R15" s="13" t="str">
        <f t="shared" si="5"/>
        <v>digester.X_p_start = 0.412613,</v>
      </c>
      <c r="T15" t="str">
        <f t="shared" si="6"/>
        <v>uit.digester.X_p_start = 0.412613,</v>
      </c>
    </row>
    <row r="16" spans="1:20" x14ac:dyDescent="0.3">
      <c r="A16" s="8" t="s">
        <v>291</v>
      </c>
      <c r="B16" s="2" t="str">
        <f t="shared" si="8"/>
        <v>0.255591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0.412613;</v>
      </c>
      <c r="J16" s="5" t="str">
        <f t="shared" si="0"/>
        <v>parameter SI.MassConcentration X_p_start = 0.412613;</v>
      </c>
      <c r="L16" t="str">
        <f>SUBSTITUTE(_xlfn.CONCAT(F16," ",G16," ",H16),";",",")</f>
        <v>X_p_start = 0.412613,</v>
      </c>
      <c r="P16" s="5" t="str">
        <f t="shared" ref="P16:P23" si="9">L20</f>
        <v>S_i_start = 0.103153,</v>
      </c>
      <c r="R16" s="13" t="str">
        <f t="shared" si="5"/>
        <v>digester.S_i_start = 0.103153,</v>
      </c>
      <c r="T16" t="str">
        <f t="shared" si="6"/>
        <v>uit.digester.S_i_start = 0.103153,</v>
      </c>
    </row>
    <row r="17" spans="1:20" x14ac:dyDescent="0.3">
      <c r="A17" s="8" t="s">
        <v>292</v>
      </c>
      <c r="B17" s="2" t="str">
        <f t="shared" si="8"/>
        <v>0.769892</v>
      </c>
      <c r="D17" t="s">
        <v>19</v>
      </c>
      <c r="J17" s="5" t="str">
        <f t="shared" si="0"/>
        <v xml:space="preserve">//    </v>
      </c>
      <c r="P17" s="5" t="str">
        <f t="shared" si="9"/>
        <v>S_su_start = 0.0312607,</v>
      </c>
      <c r="R17" s="13" t="str">
        <f t="shared" si="5"/>
        <v>digester.S_su_start = 0.0312607,</v>
      </c>
      <c r="T17" t="str">
        <f t="shared" si="6"/>
        <v>uit.digester.S_su_start = 0.0312607,</v>
      </c>
    </row>
    <row r="18" spans="1:20" x14ac:dyDescent="0.3">
      <c r="A18" s="8" t="s">
        <v>293</v>
      </c>
      <c r="B18" s="2" t="str">
        <f t="shared" si="8"/>
        <v>0.625897</v>
      </c>
      <c r="D18" t="s">
        <v>19</v>
      </c>
      <c r="J18" s="5" t="str">
        <f t="shared" si="0"/>
        <v xml:space="preserve">//    </v>
      </c>
      <c r="P18" s="5" t="str">
        <f t="shared" si="9"/>
        <v>S_aa_start = 0.0261686,</v>
      </c>
      <c r="R18" s="13" t="str">
        <f t="shared" si="5"/>
        <v>digester.S_aa_start = 0.0261686,</v>
      </c>
      <c r="T18" t="str">
        <f t="shared" si="6"/>
        <v>uit.digester.S_aa_start = 0.0261686,</v>
      </c>
    </row>
    <row r="19" spans="1:20" x14ac:dyDescent="0.3">
      <c r="A19" s="8" t="s">
        <v>294</v>
      </c>
      <c r="B19" s="2" t="str">
        <f t="shared" si="8"/>
        <v>0.412613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0.060022,</v>
      </c>
      <c r="R19" s="13" t="str">
        <f t="shared" si="5"/>
        <v>digester.S_fa_start = 0.060022,</v>
      </c>
      <c r="T19" t="str">
        <f t="shared" si="6"/>
        <v>uit.digester.S_fa_start = 0.060022,</v>
      </c>
    </row>
    <row r="20" spans="1:20" x14ac:dyDescent="0.3">
      <c r="A20" s="8" t="s">
        <v>295</v>
      </c>
      <c r="B20" s="2" t="str">
        <f t="shared" si="8"/>
        <v>0.103153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0.103153;</v>
      </c>
      <c r="J20" s="5" t="str">
        <f t="shared" si="0"/>
        <v>parameter SI.MassConcentration S_i_start = 0.103153;</v>
      </c>
      <c r="L20" t="str">
        <f t="shared" ref="L20:L27" si="10">SUBSTITUTE(_xlfn.CONCAT(F20," ",G20," ",H20),";",",")</f>
        <v>S_i_start = 0.103153,</v>
      </c>
      <c r="P20" s="5" t="str">
        <f t="shared" si="9"/>
        <v>S_va_start = 0.00511632,</v>
      </c>
      <c r="R20" s="13" t="str">
        <f t="shared" si="5"/>
        <v>digester.S_va_start = 0.00511632,</v>
      </c>
      <c r="T20" t="str">
        <f t="shared" si="6"/>
        <v>uit.digester.S_va_start = 0.00511632,</v>
      </c>
    </row>
    <row r="21" spans="1:20" x14ac:dyDescent="0.3">
      <c r="A21" s="8" t="s">
        <v>296</v>
      </c>
      <c r="B21" s="2" t="str">
        <f t="shared" si="8"/>
        <v>0.0312607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0.0312607;</v>
      </c>
      <c r="J21" s="5" t="str">
        <f t="shared" si="0"/>
        <v>parameter SI.MassConcentration S_su_start = 0.0312607;</v>
      </c>
      <c r="L21" t="str">
        <f t="shared" si="10"/>
        <v>S_su_start = 0.0312607,</v>
      </c>
      <c r="P21" s="5" t="str">
        <f t="shared" si="9"/>
        <v>S_bu_start = 0.00887421,</v>
      </c>
      <c r="R21" s="13" t="str">
        <f t="shared" si="5"/>
        <v>digester.S_bu_start = 0.00887421,</v>
      </c>
      <c r="T21" t="str">
        <f t="shared" si="6"/>
        <v>uit.digester.S_bu_start = 0.00887421,</v>
      </c>
    </row>
    <row r="22" spans="1:20" x14ac:dyDescent="0.3">
      <c r="A22" s="8" t="s">
        <v>297</v>
      </c>
      <c r="B22" s="2" t="str">
        <f t="shared" si="8"/>
        <v>0.0261686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0.0261686;</v>
      </c>
      <c r="J22" s="5" t="str">
        <f t="shared" si="0"/>
        <v>parameter SI.MassConcentration S_aa_start = 0.0261686;</v>
      </c>
      <c r="L22" t="str">
        <f t="shared" si="10"/>
        <v>S_aa_start = 0.0261686,</v>
      </c>
      <c r="P22" s="5" t="str">
        <f t="shared" si="9"/>
        <v>S_pro_start = 0.0697536,</v>
      </c>
      <c r="R22" s="13" t="str">
        <f t="shared" si="5"/>
        <v>digester.S_pro_start = 0.0697536,</v>
      </c>
      <c r="T22" t="str">
        <f t="shared" si="6"/>
        <v>uit.digester.S_pro_start = 0.0697536,</v>
      </c>
    </row>
    <row r="23" spans="1:20" x14ac:dyDescent="0.3">
      <c r="A23" s="8" t="s">
        <v>298</v>
      </c>
      <c r="B23" s="2" t="str">
        <f t="shared" si="8"/>
        <v>0.060022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0.060022;</v>
      </c>
      <c r="J23" s="5" t="str">
        <f t="shared" si="0"/>
        <v>parameter SI.MassConcentration S_fa_start = 0.060022;</v>
      </c>
      <c r="L23" t="str">
        <f t="shared" si="10"/>
        <v>S_fa_start = 0.060022,</v>
      </c>
      <c r="P23" s="5" t="str">
        <f t="shared" si="9"/>
        <v>S_ac_start = 0.0797636,</v>
      </c>
      <c r="R23" s="13" t="str">
        <f t="shared" si="5"/>
        <v>digester.S_ac_start = 0.0797636,</v>
      </c>
      <c r="T23" t="str">
        <f t="shared" si="6"/>
        <v>uit.digester.S_ac_start = 0.0797636,</v>
      </c>
    </row>
    <row r="24" spans="1:20" x14ac:dyDescent="0.3">
      <c r="A24" s="8" t="s">
        <v>299</v>
      </c>
      <c r="B24" s="2" t="str">
        <f t="shared" si="8"/>
        <v>0.00511632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0.00511632;</v>
      </c>
      <c r="J24" s="5" t="str">
        <f t="shared" si="0"/>
        <v>parameter SI.MassConcentration S_va_start = 0.00511632;</v>
      </c>
      <c r="L24" t="str">
        <f t="shared" si="10"/>
        <v>S_va_start = 0.00511632,</v>
      </c>
      <c r="P24" s="5" t="str">
        <f>L29</f>
        <v>S_h2_start = 8.68318e-07,</v>
      </c>
      <c r="R24" s="13" t="str">
        <f t="shared" si="5"/>
        <v>digester.S_h2_start = 8.68318e-07,</v>
      </c>
      <c r="T24" t="str">
        <f t="shared" si="6"/>
        <v>uit.digester.S_h2_start = 8.68318e-07,</v>
      </c>
    </row>
    <row r="25" spans="1:20" x14ac:dyDescent="0.3">
      <c r="A25" s="8" t="s">
        <v>300</v>
      </c>
      <c r="B25" s="2" t="str">
        <f t="shared" si="8"/>
        <v>0.00887421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0.00887421;</v>
      </c>
      <c r="J25" s="5" t="str">
        <f t="shared" si="0"/>
        <v>parameter SI.MassConcentration S_bu_start = 0.00887421;</v>
      </c>
      <c r="L25" t="str">
        <f t="shared" si="10"/>
        <v>S_bu_start = 0.00887421,</v>
      </c>
      <c r="P25" s="5" t="str">
        <f>L30</f>
        <v>S_ch4_start = 0.300413,</v>
      </c>
      <c r="R25" s="13" t="str">
        <f t="shared" si="5"/>
        <v>digester.S_ch4_start = 0.300413,</v>
      </c>
      <c r="T25" t="str">
        <f t="shared" si="6"/>
        <v>uit.digester.S_ch4_start = 0.300413,</v>
      </c>
    </row>
    <row r="26" spans="1:20" x14ac:dyDescent="0.3">
      <c r="A26" s="8" t="s">
        <v>301</v>
      </c>
      <c r="B26" s="2" t="str">
        <f t="shared" si="8"/>
        <v>0.0697536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0.0697536;</v>
      </c>
      <c r="J26" s="5" t="str">
        <f t="shared" si="0"/>
        <v>parameter SI.MassConcentration S_pro_start = 0.0697536;</v>
      </c>
      <c r="L26" t="str">
        <f t="shared" si="10"/>
        <v>S_pro_start = 0.0697536,</v>
      </c>
      <c r="P26" s="5" t="str">
        <f t="shared" ref="P26:P34" si="12">L32</f>
        <v>S_ic_start = 0.208188,</v>
      </c>
      <c r="R26" s="13" t="str">
        <f t="shared" si="5"/>
        <v>digester.S_ic_start = 0.208188,</v>
      </c>
      <c r="T26" t="str">
        <f t="shared" si="6"/>
        <v>uit.digester.S_ic_start = 0.208188,</v>
      </c>
    </row>
    <row r="27" spans="1:20" x14ac:dyDescent="0.3">
      <c r="A27" s="8" t="s">
        <v>302</v>
      </c>
      <c r="B27" s="2" t="str">
        <f t="shared" si="8"/>
        <v>0.0797636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0.0797636;</v>
      </c>
      <c r="J27" s="5" t="str">
        <f t="shared" si="0"/>
        <v>parameter SI.MassConcentration S_ac_start = 0.0797636;</v>
      </c>
      <c r="L27" t="str">
        <f t="shared" si="10"/>
        <v>S_ac_start = 0.0797636,</v>
      </c>
      <c r="P27" s="5" t="str">
        <f t="shared" si="12"/>
        <v>S_in_start = 0.112162,</v>
      </c>
      <c r="R27" s="13" t="str">
        <f t="shared" si="5"/>
        <v>digester.S_in_start = 0.112162,</v>
      </c>
      <c r="T27" t="str">
        <f t="shared" si="6"/>
        <v>uit.digester.S_in_start = 0.112162,</v>
      </c>
    </row>
    <row r="28" spans="1:20" x14ac:dyDescent="0.3">
      <c r="A28" s="8" t="s">
        <v>303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0.00321926,</v>
      </c>
      <c r="R28" s="13" t="str">
        <f t="shared" si="5"/>
        <v>digester.S_ip_start = 0.00321926,</v>
      </c>
      <c r="T28" t="str">
        <f t="shared" si="6"/>
        <v>uit.digester.S_ip_start = 0.00321926,</v>
      </c>
    </row>
    <row r="29" spans="1:20" x14ac:dyDescent="0.3">
      <c r="A29" s="8" t="s">
        <v>304</v>
      </c>
      <c r="B29" s="2" t="str">
        <f>A27</f>
        <v>8.68318e-07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8.68318e-07;</v>
      </c>
      <c r="J29" s="5" t="str">
        <f t="shared" si="0"/>
        <v>parameter SI.MassConcentration S_h2_start = 8.68318e-07;</v>
      </c>
      <c r="L29" t="str">
        <f>SUBSTITUTE(_xlfn.CONCAT(F29," ",G29," ",H29),";",",")</f>
        <v>S_h2_start = 8.68318e-07,</v>
      </c>
      <c r="P29" s="5" t="str">
        <f t="shared" si="12"/>
        <v>S_cat_start = 0.110979,</v>
      </c>
      <c r="R29" s="13" t="str">
        <f t="shared" si="5"/>
        <v>digester.S_cat_start = 0.110979,</v>
      </c>
      <c r="T29" t="str">
        <f t="shared" si="6"/>
        <v>uit.digester.S_cat_start = 0.110979,</v>
      </c>
    </row>
    <row r="30" spans="1:20" x14ac:dyDescent="0.3">
      <c r="A30" s="8" t="s">
        <v>305</v>
      </c>
      <c r="B30" s="2" t="str">
        <f>A28</f>
        <v>0.300413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0.300413;</v>
      </c>
      <c r="J30" s="5" t="str">
        <f t="shared" si="0"/>
        <v>parameter SI.MassConcentration S_ch4_start = 0.300413;</v>
      </c>
      <c r="L30" t="str">
        <f>SUBSTITUTE(_xlfn.CONCAT(F30," ",G30," ",H30),";",",")</f>
        <v>S_ch4_start = 0.300413,</v>
      </c>
      <c r="P30" s="5" t="str">
        <f t="shared" si="12"/>
        <v>S_ca_start = 4.99332e-05,</v>
      </c>
      <c r="R30" s="13" t="str">
        <f t="shared" si="5"/>
        <v>digester.S_ca_start = 4.99332e-05,</v>
      </c>
      <c r="T30" t="str">
        <f t="shared" si="6"/>
        <v>uit.digester.S_ca_start = 4.99332e-05,</v>
      </c>
    </row>
    <row r="31" spans="1:20" x14ac:dyDescent="0.3">
      <c r="A31" s="8" t="s">
        <v>306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0.000147696,</v>
      </c>
      <c r="R31" s="13" t="str">
        <f t="shared" si="5"/>
        <v>digester.S_mg_start = 0.000147696,</v>
      </c>
      <c r="T31" t="str">
        <f t="shared" si="6"/>
        <v>uit.digester.S_mg_start = 0.000147696,</v>
      </c>
    </row>
    <row r="32" spans="1:20" x14ac:dyDescent="0.3">
      <c r="A32" s="8" t="s">
        <v>307</v>
      </c>
      <c r="B32" s="2" t="str">
        <f>A29</f>
        <v>0.208188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0.208188;</v>
      </c>
      <c r="J32" s="5" t="str">
        <f t="shared" si="0"/>
        <v>parameter Types.MolarDensity_M S_ic_start = 0.208188;</v>
      </c>
      <c r="L32" t="str">
        <f t="shared" ref="L32:L40" si="13">SUBSTITUTE(_xlfn.CONCAT(F32," ",G32," ",H32),";",",")</f>
        <v>S_ic_start = 0.208188,</v>
      </c>
      <c r="P32" s="5" t="str">
        <f t="shared" si="12"/>
        <v>S_an_start = 0.01696,</v>
      </c>
      <c r="R32" s="13" t="str">
        <f t="shared" si="5"/>
        <v>digester.S_an_start = 0.01696,</v>
      </c>
      <c r="T32" t="str">
        <f>_xlfn.CONCAT("uit.",R32)</f>
        <v>uit.digester.S_an_start = 0.01696,</v>
      </c>
    </row>
    <row r="33" spans="1:20" x14ac:dyDescent="0.3">
      <c r="A33" s="8" t="s">
        <v>308</v>
      </c>
      <c r="B33" s="2" t="str">
        <f t="shared" ref="B33:B40" si="14">A30</f>
        <v>0.112162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0.112162;</v>
      </c>
      <c r="J33" s="5" t="str">
        <f t="shared" si="0"/>
        <v>parameter Types.MolarDensity_M S_in_start = 0.112162;</v>
      </c>
      <c r="L33" t="str">
        <f t="shared" si="13"/>
        <v>S_in_start = 0.112162,</v>
      </c>
      <c r="P33" s="5" t="str">
        <f t="shared" si="12"/>
        <v>ash_start = 12.7355,</v>
      </c>
      <c r="R33" s="13" t="str">
        <f t="shared" si="5"/>
        <v>digester.ash_start = 12.7355,</v>
      </c>
      <c r="T33" t="str">
        <f t="shared" si="6"/>
        <v>uit.digester.ash_start = 12.7355,</v>
      </c>
    </row>
    <row r="34" spans="1:20" x14ac:dyDescent="0.3">
      <c r="A34" s="8" t="s">
        <v>309</v>
      </c>
      <c r="B34" s="2" t="str">
        <f t="shared" si="14"/>
        <v>0.00321926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0.00321926;</v>
      </c>
      <c r="J34" s="5" t="str">
        <f t="shared" si="0"/>
        <v>parameter Types.MolarDensity_M S_ip_start = 0.00321926;</v>
      </c>
      <c r="L34" t="str">
        <f t="shared" si="13"/>
        <v>S_ip_start = 0.00321926,</v>
      </c>
      <c r="P34" s="5" t="str">
        <f t="shared" si="12"/>
        <v>X_lig_start = 7.77306,</v>
      </c>
      <c r="R34" s="13" t="str">
        <f t="shared" si="5"/>
        <v>digester.X_lig_start = 7.77306,</v>
      </c>
      <c r="T34" t="str">
        <f t="shared" si="6"/>
        <v>uit.digester.X_lig_start = 7.77306,</v>
      </c>
    </row>
    <row r="35" spans="1:20" x14ac:dyDescent="0.3">
      <c r="A35" s="8" t="s">
        <v>310</v>
      </c>
      <c r="B35" s="2" t="str">
        <f t="shared" si="14"/>
        <v>0.110979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0.110979;</v>
      </c>
      <c r="J35" s="5" t="str">
        <f t="shared" si="0"/>
        <v>parameter Types.MolarDensity_M S_cat_start = 0.110979;</v>
      </c>
      <c r="L35" t="str">
        <f t="shared" si="13"/>
        <v>S_cat_start = 0.110979,</v>
      </c>
      <c r="P35" s="5" t="str">
        <f>L43</f>
        <v>S_gas_h2_start = 6.18637e-06,</v>
      </c>
      <c r="R35" s="13" t="str">
        <f t="shared" si="5"/>
        <v>digester.S_gas_h2_start = 6.18637e-06,</v>
      </c>
      <c r="T35" t="str">
        <f t="shared" si="6"/>
        <v>uit.digester.S_gas_h2_start = 6.18637e-06,</v>
      </c>
    </row>
    <row r="36" spans="1:20" x14ac:dyDescent="0.3">
      <c r="A36" s="8" t="s">
        <v>311</v>
      </c>
      <c r="B36" s="2" t="str">
        <f t="shared" si="14"/>
        <v>4.99332e-05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4.99332e-05;</v>
      </c>
      <c r="J36" s="5" t="str">
        <f t="shared" si="0"/>
        <v>parameter Types.MolarDensity_M S_ca_start = 4.99332e-05;</v>
      </c>
      <c r="L36" t="str">
        <f t="shared" si="13"/>
        <v>S_ca_start = 4.99332e-05,</v>
      </c>
      <c r="P36" s="5" t="str">
        <f>L44</f>
        <v>S_gas_ch4_start = 1.27063,</v>
      </c>
      <c r="R36" s="13" t="str">
        <f t="shared" si="5"/>
        <v>digester.S_gas_ch4_start = 1.27063,</v>
      </c>
      <c r="T36" t="str">
        <f t="shared" si="6"/>
        <v>uit.digester.S_gas_ch4_start = 1.27063,</v>
      </c>
    </row>
    <row r="37" spans="1:20" x14ac:dyDescent="0.3">
      <c r="A37" s="8" t="s">
        <v>312</v>
      </c>
      <c r="B37" s="2" t="str">
        <f t="shared" si="14"/>
        <v>0.000147696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0.000147696;</v>
      </c>
      <c r="J37" s="5" t="str">
        <f t="shared" si="0"/>
        <v>parameter Types.MolarDensity_M S_mg_start = 0.000147696;</v>
      </c>
      <c r="L37" t="str">
        <f t="shared" si="13"/>
        <v>S_mg_start = 0.000147696,</v>
      </c>
      <c r="P37" s="5" t="str">
        <f>L45</f>
        <v>S_gas_co2_start = 0.0165325,</v>
      </c>
      <c r="R37" s="13" t="str">
        <f t="shared" si="5"/>
        <v>digester.S_gas_co2_start = 0.0165325,</v>
      </c>
      <c r="T37" t="str">
        <f t="shared" si="6"/>
        <v>uit.digester.S_gas_co2_start = 0.0165325,</v>
      </c>
    </row>
    <row r="38" spans="1:20" x14ac:dyDescent="0.3">
      <c r="A38" s="8" t="s">
        <v>313</v>
      </c>
      <c r="B38" s="2" t="str">
        <f t="shared" si="14"/>
        <v>0.01696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0.01696;</v>
      </c>
      <c r="J38" s="5" t="str">
        <f t="shared" si="0"/>
        <v>parameter Types.MolarDensity_M S_an_start = 0.01696;</v>
      </c>
      <c r="L38" t="str">
        <f t="shared" si="13"/>
        <v>S_an_start = 0.01696,</v>
      </c>
      <c r="P38" s="5" t="str">
        <f>L46</f>
        <v>S_gas_nh3_start = 1.8812e-06,</v>
      </c>
      <c r="R38" s="13" t="str">
        <f t="shared" si="5"/>
        <v>digester.S_gas_nh3_start = 1.8812e-06,</v>
      </c>
      <c r="T38" t="str">
        <f t="shared" si="6"/>
        <v>uit.digester.S_gas_nh3_start = 1.8812e-06,</v>
      </c>
    </row>
    <row r="39" spans="1:20" x14ac:dyDescent="0.3">
      <c r="A39" s="8" t="s">
        <v>314</v>
      </c>
      <c r="B39" s="2" t="str">
        <f t="shared" si="14"/>
        <v>12.7355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12.7355;</v>
      </c>
      <c r="J39" s="5" t="str">
        <f t="shared" si="0"/>
        <v>parameter SI.MassConcentration ash_start = 12.7355;</v>
      </c>
      <c r="L39" t="str">
        <f t="shared" si="13"/>
        <v>ash_start = 12.7355,</v>
      </c>
      <c r="P39" s="5" t="str">
        <f>L48</f>
        <v>X_acp_start = 1.46744e-11,</v>
      </c>
      <c r="R39" s="13" t="str">
        <f t="shared" si="5"/>
        <v>digester.X_acp_start = 1.46744e-11,</v>
      </c>
      <c r="T39" t="str">
        <f t="shared" si="6"/>
        <v>uit.digester.X_acp_start = 1.46744e-11,</v>
      </c>
    </row>
    <row r="40" spans="1:20" x14ac:dyDescent="0.3">
      <c r="A40" s="8" t="s">
        <v>315</v>
      </c>
      <c r="B40" s="2" t="str">
        <f t="shared" si="14"/>
        <v>7.77306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7.77306;</v>
      </c>
      <c r="J40" s="5" t="str">
        <f t="shared" si="0"/>
        <v>parameter SI.MassConcentration X_lig_start = 7.77306;</v>
      </c>
      <c r="L40" t="str">
        <f t="shared" si="13"/>
        <v>X_lig_start = 7.77306,</v>
      </c>
      <c r="P40" s="5" t="str">
        <f>L49</f>
        <v>X_stru_start = 0.00933855,</v>
      </c>
      <c r="R40" s="13" t="str">
        <f t="shared" si="5"/>
        <v>digester.X_stru_start = 0.00933855,</v>
      </c>
      <c r="T40" t="str">
        <f t="shared" si="6"/>
        <v>uit.digester.X_stru_start = 0.00933855,</v>
      </c>
    </row>
    <row r="41" spans="1:20" x14ac:dyDescent="0.3">
      <c r="A41" s="8" t="s">
        <v>316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0.00499007,</v>
      </c>
      <c r="R41" s="13" t="str">
        <f t="shared" si="5"/>
        <v>digester.X_ccm_start = 0.00499007,</v>
      </c>
      <c r="T41" t="str">
        <f t="shared" si="6"/>
        <v>uit.digester.X_ccm_start = 0.00499007,</v>
      </c>
    </row>
    <row r="42" spans="1:20" ht="15" thickBot="1" x14ac:dyDescent="0.35">
      <c r="A42" s="8" t="s">
        <v>317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4.46837e-09</v>
      </c>
      <c r="R42" s="13" t="str">
        <f t="shared" si="5"/>
        <v>digester.X_mag_start = 4.46837e-09</v>
      </c>
      <c r="T42" t="str">
        <f t="shared" si="6"/>
        <v>uit.digester.X_mag_start = 4.46837e-09</v>
      </c>
    </row>
    <row r="43" spans="1:20" ht="15" thickBot="1" x14ac:dyDescent="0.35">
      <c r="A43" s="8" t="s">
        <v>318</v>
      </c>
      <c r="B43" s="2" t="str">
        <f>A38</f>
        <v>6.18637e-06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6.18637e-06;</v>
      </c>
      <c r="J43" s="5" t="str">
        <f t="shared" si="0"/>
        <v>parameter SI.MassConcentration S_gas_h2_start = 6.18637e-06;</v>
      </c>
      <c r="L43" t="str">
        <f>SUBSTITUTE(_xlfn.CONCAT(F43," ",G43," ",H43),";",",")</f>
        <v>S_gas_h2_start = 6.18637e-06,</v>
      </c>
      <c r="P43" s="3" t="s">
        <v>62</v>
      </c>
      <c r="R43" s="13"/>
    </row>
    <row r="44" spans="1:20" ht="16.2" thickBot="1" x14ac:dyDescent="0.35">
      <c r="A44" s="8" t="s">
        <v>319</v>
      </c>
      <c r="B44" s="2" t="str">
        <f t="shared" ref="B44:B46" si="15">A39</f>
        <v>1.27063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1.27063;</v>
      </c>
      <c r="J44" s="5" t="str">
        <f t="shared" si="0"/>
        <v>parameter SI.MassConcentration S_gas_ch4_start = 1.27063;</v>
      </c>
      <c r="L44" t="str">
        <f>SUBSTITUTE(_xlfn.CONCAT(F44," ",G44," ",H44),";",",")</f>
        <v>S_gas_ch4_start = 1.27063,</v>
      </c>
      <c r="P44" s="11" t="str">
        <f>L53</f>
        <v>xi_start = 0.02579,</v>
      </c>
      <c r="R44" s="14" t="str">
        <f>_xlfn.CONCAT("limPID.",P44)</f>
        <v>limPID.xi_start = 0.02579,</v>
      </c>
      <c r="T44" t="str">
        <f t="shared" si="6"/>
        <v>uit.limPID.xi_start = 0.02579,</v>
      </c>
    </row>
    <row r="45" spans="1:20" ht="15" thickBot="1" x14ac:dyDescent="0.35">
      <c r="A45" s="9" t="s">
        <v>320</v>
      </c>
      <c r="B45" s="2" t="str">
        <f t="shared" si="15"/>
        <v>0.0165325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0.0165325;</v>
      </c>
      <c r="J45" s="5" t="str">
        <f t="shared" si="0"/>
        <v>parameter Types.MolarDensity_M S_gas_co2_start = 0.0165325;</v>
      </c>
      <c r="L45" t="str">
        <f>SUBSTITUTE(_xlfn.CONCAT(F45," ",G45," ",H45),";",",")</f>
        <v>S_gas_co2_start = 0.0165325,</v>
      </c>
    </row>
    <row r="46" spans="1:20" ht="15" thickBot="1" x14ac:dyDescent="0.35">
      <c r="A46" s="3" t="s">
        <v>62</v>
      </c>
      <c r="B46" s="2" t="str">
        <f t="shared" si="15"/>
        <v>1.8812e-06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1.8812e-06;</v>
      </c>
      <c r="J46" s="5" t="str">
        <f t="shared" si="0"/>
        <v>parameter Types.MolarDensity_M S_gas_nh3_start = 1.8812e-06;</v>
      </c>
      <c r="L46" t="str">
        <f>SUBSTITUTE(_xlfn.CONCAT(F46," ",G46," ",H46),";",",")</f>
        <v>S_gas_nh3_start = 1.8812e-06,</v>
      </c>
    </row>
    <row r="47" spans="1:20" ht="15" thickBot="1" x14ac:dyDescent="0.35">
      <c r="A47" s="10">
        <v>2.579E-2</v>
      </c>
      <c r="J47" s="5" t="str">
        <f t="shared" si="0"/>
        <v xml:space="preserve">    </v>
      </c>
    </row>
    <row r="48" spans="1:20" x14ac:dyDescent="0.3">
      <c r="B48" s="2" t="str">
        <f>A42</f>
        <v>1.46744e-11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1.46744e-11;</v>
      </c>
      <c r="J48" s="5" t="str">
        <f t="shared" si="0"/>
        <v>parameter Types.MolarDensity_M X_acp_start = 1.46744e-11;</v>
      </c>
      <c r="L48" t="str">
        <f>SUBSTITUTE(_xlfn.CONCAT(F48," ",G48," ",H48),";",",")</f>
        <v>X_acp_start = 1.46744e-11,</v>
      </c>
    </row>
    <row r="49" spans="2:12" x14ac:dyDescent="0.3">
      <c r="B49" s="2" t="str">
        <f t="shared" ref="B49:B51" si="16">A43</f>
        <v>0.00933855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0.00933855;</v>
      </c>
      <c r="J49" s="5" t="str">
        <f t="shared" si="0"/>
        <v>parameter Types.MolarDensity_M X_stru_start = 0.00933855;</v>
      </c>
      <c r="L49" t="str">
        <f>SUBSTITUTE(_xlfn.CONCAT(F49," ",G49," ",H49),";",",")</f>
        <v>X_stru_start = 0.00933855,</v>
      </c>
    </row>
    <row r="50" spans="2:12" x14ac:dyDescent="0.3">
      <c r="B50" s="2" t="str">
        <f t="shared" si="16"/>
        <v>0.00499007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0.00499007;</v>
      </c>
      <c r="J50" s="5" t="str">
        <f t="shared" si="0"/>
        <v>parameter Types.MolarDensity_M X_ccm_start = 0.00499007;</v>
      </c>
      <c r="L50" t="str">
        <f>SUBSTITUTE(_xlfn.CONCAT(F50," ",G50," ",H50),";",",")</f>
        <v>X_ccm_start = 0.00499007,</v>
      </c>
    </row>
    <row r="51" spans="2:12" ht="15" thickBot="1" x14ac:dyDescent="0.35">
      <c r="B51" s="2" t="str">
        <f t="shared" si="16"/>
        <v>4.46837e-09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4.46837e-09;</v>
      </c>
      <c r="J51" s="6" t="str">
        <f t="shared" si="0"/>
        <v>parameter Types.MolarDensity_M X_mag_start = 4.46837e-09;</v>
      </c>
      <c r="L51" t="str">
        <f>SUBSTITUTE(_xlfn.CONCAT(F51," ",G51," ",H51),";","")</f>
        <v>X_mag_start = 4.46837e-09</v>
      </c>
    </row>
    <row r="53" spans="2:12" ht="15.6" x14ac:dyDescent="0.3">
      <c r="L53" s="1" t="str">
        <f>_xlfn.CONCAT("xi_start ="," ",A47,",")</f>
        <v>xi_start = 0.02579,</v>
      </c>
    </row>
    <row r="56" spans="2:12" x14ac:dyDescent="0.3">
      <c r="B56" s="2"/>
    </row>
    <row r="57" spans="2:12" x14ac:dyDescent="0.3">
      <c r="B57" s="2"/>
    </row>
    <row r="58" spans="2:12" x14ac:dyDescent="0.3">
      <c r="B58" s="2"/>
    </row>
    <row r="59" spans="2:12" x14ac:dyDescent="0.3">
      <c r="B59" s="2"/>
    </row>
    <row r="60" spans="2:12" x14ac:dyDescent="0.3">
      <c r="B60" s="2"/>
    </row>
    <row r="61" spans="2:12" x14ac:dyDescent="0.3">
      <c r="B61" s="2"/>
    </row>
    <row r="62" spans="2:12" x14ac:dyDescent="0.3">
      <c r="B62" s="2"/>
    </row>
    <row r="63" spans="2:12" x14ac:dyDescent="0.3">
      <c r="B63" s="2"/>
    </row>
    <row r="64" spans="2:12" x14ac:dyDescent="0.3">
      <c r="B64" s="2"/>
      <c r="C64" t="s">
        <v>235</v>
      </c>
    </row>
    <row r="65" spans="2:3" x14ac:dyDescent="0.3">
      <c r="B65" s="2"/>
    </row>
    <row r="66" spans="2:3" x14ac:dyDescent="0.3">
      <c r="C66" s="2"/>
    </row>
    <row r="67" spans="2:3" x14ac:dyDescent="0.3">
      <c r="C67" s="2"/>
    </row>
    <row r="68" spans="2:3" x14ac:dyDescent="0.3">
      <c r="C68" s="2"/>
    </row>
    <row r="69" spans="2:3" x14ac:dyDescent="0.3">
      <c r="C69" s="2"/>
    </row>
    <row r="70" spans="2:3" x14ac:dyDescent="0.3">
      <c r="C70" s="2"/>
    </row>
    <row r="71" spans="2:3" x14ac:dyDescent="0.3">
      <c r="C71" s="2"/>
    </row>
    <row r="72" spans="2:3" x14ac:dyDescent="0.3">
      <c r="C72" s="2"/>
    </row>
    <row r="73" spans="2:3" x14ac:dyDescent="0.3">
      <c r="C73" s="2"/>
    </row>
    <row r="74" spans="2:3" x14ac:dyDescent="0.3">
      <c r="C74" s="2"/>
    </row>
    <row r="75" spans="2:3" x14ac:dyDescent="0.3">
      <c r="C75" s="2"/>
    </row>
    <row r="76" spans="2:3" x14ac:dyDescent="0.3">
      <c r="C76" s="2"/>
    </row>
    <row r="77" spans="2:3" x14ac:dyDescent="0.3">
      <c r="C77" s="2"/>
    </row>
    <row r="78" spans="2:3" x14ac:dyDescent="0.3">
      <c r="C78" s="2"/>
    </row>
    <row r="79" spans="2:3" x14ac:dyDescent="0.3">
      <c r="C79" s="2"/>
    </row>
    <row r="80" spans="2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B443-C6A7-4FB7-B047-A868A3CB77CB}">
  <dimension ref="A1:E51"/>
  <sheetViews>
    <sheetView workbookViewId="0">
      <selection activeCell="A3" sqref="A3"/>
    </sheetView>
  </sheetViews>
  <sheetFormatPr defaultRowHeight="14.4" x14ac:dyDescent="0.3"/>
  <sheetData>
    <row r="1" spans="1:5" x14ac:dyDescent="0.3">
      <c r="A1" t="s">
        <v>372</v>
      </c>
      <c r="B1">
        <v>1.80454E-2</v>
      </c>
      <c r="D1" t="s">
        <v>321</v>
      </c>
      <c r="E1" t="str">
        <f>_xlfn.CONCAT(D1,"= ",B1,",")</f>
        <v>aa= 0.0180454,</v>
      </c>
    </row>
    <row r="2" spans="1:5" x14ac:dyDescent="0.3">
      <c r="A2" t="s">
        <v>373</v>
      </c>
      <c r="B2">
        <v>0.80964499999999995</v>
      </c>
      <c r="D2" t="s">
        <v>322</v>
      </c>
      <c r="E2" t="str">
        <f t="shared" ref="E2:E50" si="0">_xlfn.CONCAT(D2,"= ",B2,",")</f>
        <v>ac= 0.809645,</v>
      </c>
    </row>
    <row r="3" spans="1:5" x14ac:dyDescent="0.3">
      <c r="B3">
        <v>1.70657E-2</v>
      </c>
      <c r="D3" t="s">
        <v>323</v>
      </c>
      <c r="E3" t="str">
        <f t="shared" si="0"/>
        <v>an= 0.0170657,</v>
      </c>
    </row>
    <row r="4" spans="1:5" x14ac:dyDescent="0.3">
      <c r="B4">
        <v>5.6287100000000003E-3</v>
      </c>
      <c r="D4" t="s">
        <v>324</v>
      </c>
      <c r="E4" t="str">
        <f t="shared" si="0"/>
        <v>bu= 0.00562871,</v>
      </c>
    </row>
    <row r="5" spans="1:5" x14ac:dyDescent="0.3">
      <c r="B5" s="15">
        <v>5.8043700000000001E-5</v>
      </c>
      <c r="D5" t="s">
        <v>325</v>
      </c>
      <c r="E5" t="str">
        <f t="shared" si="0"/>
        <v>ca= 0.0000580437,</v>
      </c>
    </row>
    <row r="6" spans="1:5" x14ac:dyDescent="0.3">
      <c r="B6">
        <v>0.106249</v>
      </c>
      <c r="D6" t="s">
        <v>326</v>
      </c>
      <c r="E6" t="str">
        <f t="shared" si="0"/>
        <v>cat= 0.106249,</v>
      </c>
    </row>
    <row r="7" spans="1:5" x14ac:dyDescent="0.3">
      <c r="B7">
        <v>0.41595700000000002</v>
      </c>
      <c r="D7" t="s">
        <v>327</v>
      </c>
      <c r="E7" t="str">
        <f t="shared" si="0"/>
        <v>ch4= 0.415957,</v>
      </c>
    </row>
    <row r="8" spans="1:5" x14ac:dyDescent="0.3">
      <c r="B8">
        <v>4.21809E-2</v>
      </c>
      <c r="D8" t="s">
        <v>328</v>
      </c>
      <c r="E8" t="str">
        <f t="shared" si="0"/>
        <v>fa= 0.0421809,</v>
      </c>
    </row>
    <row r="9" spans="1:5" x14ac:dyDescent="0.3">
      <c r="B9" s="15">
        <v>6.1161099999999998E-7</v>
      </c>
      <c r="D9" t="s">
        <v>329</v>
      </c>
      <c r="E9" t="str">
        <f t="shared" si="0"/>
        <v>h2= 0.000000611611,</v>
      </c>
    </row>
    <row r="10" spans="1:5" x14ac:dyDescent="0.3">
      <c r="B10">
        <v>0.112733</v>
      </c>
      <c r="D10" t="s">
        <v>330</v>
      </c>
      <c r="E10" t="str">
        <f t="shared" si="0"/>
        <v>sich= 0.112733,</v>
      </c>
    </row>
    <row r="11" spans="1:5" x14ac:dyDescent="0.3">
      <c r="B11">
        <v>0.112733</v>
      </c>
      <c r="D11" t="s">
        <v>331</v>
      </c>
      <c r="E11" t="str">
        <f t="shared" si="0"/>
        <v>sipr= 0.112733,</v>
      </c>
    </row>
    <row r="12" spans="1:5" x14ac:dyDescent="0.3">
      <c r="B12">
        <v>0.112733</v>
      </c>
      <c r="D12" t="s">
        <v>332</v>
      </c>
      <c r="E12" t="str">
        <f t="shared" si="0"/>
        <v>sili= 0.112733,</v>
      </c>
    </row>
    <row r="13" spans="1:5" x14ac:dyDescent="0.3">
      <c r="B13">
        <v>0.112733</v>
      </c>
      <c r="D13" t="s">
        <v>333</v>
      </c>
      <c r="E13" t="str">
        <f t="shared" si="0"/>
        <v>si= 0.112733,</v>
      </c>
    </row>
    <row r="14" spans="1:5" x14ac:dyDescent="0.3">
      <c r="B14">
        <v>0.19559699999999999</v>
      </c>
      <c r="D14" t="s">
        <v>334</v>
      </c>
      <c r="E14" t="str">
        <f t="shared" si="0"/>
        <v>tic= 0.195597,</v>
      </c>
    </row>
    <row r="15" spans="1:5" x14ac:dyDescent="0.3">
      <c r="B15">
        <v>0.114895</v>
      </c>
      <c r="D15" t="s">
        <v>335</v>
      </c>
      <c r="E15" t="str">
        <f t="shared" si="0"/>
        <v>tan= 0.114895,</v>
      </c>
    </row>
    <row r="16" spans="1:5" x14ac:dyDescent="0.3">
      <c r="B16">
        <v>3.2875999999999999E-3</v>
      </c>
      <c r="D16" t="s">
        <v>336</v>
      </c>
      <c r="E16" t="str">
        <f t="shared" si="0"/>
        <v>ortop= 0.0032876,</v>
      </c>
    </row>
    <row r="17" spans="2:5" x14ac:dyDescent="0.3">
      <c r="B17">
        <v>1.5702199999999999E-4</v>
      </c>
      <c r="D17" t="s">
        <v>337</v>
      </c>
      <c r="E17" t="str">
        <f t="shared" si="0"/>
        <v>mg= 0.000157022,</v>
      </c>
    </row>
    <row r="18" spans="2:5" x14ac:dyDescent="0.3">
      <c r="B18">
        <v>4.7812399999999998E-2</v>
      </c>
      <c r="D18" t="s">
        <v>338</v>
      </c>
      <c r="E18" t="str">
        <f t="shared" si="0"/>
        <v>pro= 0.0478124,</v>
      </c>
    </row>
    <row r="19" spans="2:5" x14ac:dyDescent="0.3">
      <c r="B19">
        <v>2.2451800000000001E-2</v>
      </c>
      <c r="D19" t="s">
        <v>339</v>
      </c>
      <c r="E19" t="str">
        <f t="shared" si="0"/>
        <v>su= 0.0224518,</v>
      </c>
    </row>
    <row r="20" spans="2:5" x14ac:dyDescent="0.3">
      <c r="B20">
        <v>3.26181E-3</v>
      </c>
      <c r="D20" t="s">
        <v>340</v>
      </c>
      <c r="E20" t="str">
        <f t="shared" si="0"/>
        <v>va= 0.00326181,</v>
      </c>
    </row>
    <row r="21" spans="2:5" x14ac:dyDescent="0.3">
      <c r="B21">
        <v>0.56188499999999997</v>
      </c>
      <c r="D21" t="s">
        <v>341</v>
      </c>
      <c r="E21" t="str">
        <f t="shared" si="0"/>
        <v>xaa= 0.561885,</v>
      </c>
    </row>
    <row r="22" spans="2:5" x14ac:dyDescent="0.3">
      <c r="B22">
        <v>1.0786</v>
      </c>
      <c r="D22" t="s">
        <v>342</v>
      </c>
      <c r="E22" t="str">
        <f t="shared" si="0"/>
        <v>xac= 1.0786,</v>
      </c>
    </row>
    <row r="23" spans="2:5" x14ac:dyDescent="0.3">
      <c r="B23" s="15">
        <v>-1.8274399999999999E-27</v>
      </c>
      <c r="D23" t="s">
        <v>343</v>
      </c>
      <c r="E23" t="str">
        <f t="shared" si="0"/>
        <v>xacp= -1.82744E-27,</v>
      </c>
    </row>
    <row r="24" spans="2:5" x14ac:dyDescent="0.3">
      <c r="B24">
        <v>0</v>
      </c>
      <c r="D24" t="s">
        <v>344</v>
      </c>
      <c r="E24" t="str">
        <f t="shared" si="0"/>
        <v>xcch= 0,</v>
      </c>
    </row>
    <row r="25" spans="2:5" x14ac:dyDescent="0.3">
      <c r="B25">
        <v>0</v>
      </c>
      <c r="D25" t="s">
        <v>345</v>
      </c>
      <c r="E25" t="str">
        <f t="shared" si="0"/>
        <v>xcpr= 0,</v>
      </c>
    </row>
    <row r="26" spans="2:5" x14ac:dyDescent="0.3">
      <c r="B26">
        <v>0</v>
      </c>
      <c r="D26" t="s">
        <v>346</v>
      </c>
      <c r="E26" t="str">
        <f t="shared" si="0"/>
        <v>xcli= 0,</v>
      </c>
    </row>
    <row r="27" spans="2:5" x14ac:dyDescent="0.3">
      <c r="B27">
        <v>0</v>
      </c>
      <c r="D27" t="s">
        <v>347</v>
      </c>
      <c r="E27" t="str">
        <f t="shared" si="0"/>
        <v>xcxi= 0,</v>
      </c>
    </row>
    <row r="28" spans="2:5" x14ac:dyDescent="0.3">
      <c r="B28">
        <v>0</v>
      </c>
      <c r="D28" t="s">
        <v>348</v>
      </c>
      <c r="E28" t="str">
        <f t="shared" si="0"/>
        <v>xcsi= 0,</v>
      </c>
    </row>
    <row r="29" spans="2:5" x14ac:dyDescent="0.3">
      <c r="B29">
        <v>0</v>
      </c>
      <c r="D29" t="s">
        <v>349</v>
      </c>
      <c r="E29" t="str">
        <f t="shared" si="0"/>
        <v>xclig= 0,</v>
      </c>
    </row>
    <row r="30" spans="2:5" x14ac:dyDescent="0.3">
      <c r="B30">
        <v>0</v>
      </c>
      <c r="D30" t="s">
        <v>350</v>
      </c>
      <c r="E30" t="str">
        <f t="shared" si="0"/>
        <v>xc= 0,</v>
      </c>
    </row>
    <row r="31" spans="2:5" x14ac:dyDescent="0.3">
      <c r="B31">
        <v>0.45396599999999998</v>
      </c>
      <c r="D31" t="s">
        <v>351</v>
      </c>
      <c r="E31" t="str">
        <f t="shared" si="0"/>
        <v>xc4= 0.453966,</v>
      </c>
    </row>
    <row r="32" spans="2:5" x14ac:dyDescent="0.3">
      <c r="B32">
        <v>4.91326E-3</v>
      </c>
      <c r="D32" t="s">
        <v>352</v>
      </c>
      <c r="E32" t="str">
        <f t="shared" si="0"/>
        <v>xccm= 0.00491326,</v>
      </c>
    </row>
    <row r="33" spans="2:5" x14ac:dyDescent="0.3">
      <c r="B33">
        <v>1.3480000000000001</v>
      </c>
      <c r="D33" t="s">
        <v>353</v>
      </c>
      <c r="E33" t="str">
        <f t="shared" si="0"/>
        <v>xchr= 1.348,</v>
      </c>
    </row>
    <row r="34" spans="2:5" x14ac:dyDescent="0.3">
      <c r="B34">
        <v>0.75810699999999998</v>
      </c>
      <c r="D34" t="s">
        <v>354</v>
      </c>
      <c r="E34" t="str">
        <f t="shared" si="0"/>
        <v>xchm= 0.758107,</v>
      </c>
    </row>
    <row r="35" spans="2:5" x14ac:dyDescent="0.3">
      <c r="B35">
        <v>2.9961799999999998</v>
      </c>
      <c r="D35" t="s">
        <v>355</v>
      </c>
      <c r="E35" t="str">
        <f t="shared" si="0"/>
        <v>xchs= 2.99618,</v>
      </c>
    </row>
    <row r="36" spans="2:5" x14ac:dyDescent="0.3">
      <c r="B36">
        <v>0.20128099999999999</v>
      </c>
      <c r="D36" t="s">
        <v>356</v>
      </c>
      <c r="E36" t="str">
        <f t="shared" si="0"/>
        <v>xfa= 0.201281,</v>
      </c>
    </row>
    <row r="37" spans="2:5" x14ac:dyDescent="0.3">
      <c r="B37">
        <v>0.53491900000000003</v>
      </c>
      <c r="D37" t="s">
        <v>357</v>
      </c>
      <c r="E37" t="str">
        <f t="shared" si="0"/>
        <v>xh2= 0.534919,</v>
      </c>
    </row>
    <row r="38" spans="2:5" x14ac:dyDescent="0.3">
      <c r="B38">
        <v>26.545300000000001</v>
      </c>
      <c r="D38" t="s">
        <v>358</v>
      </c>
      <c r="E38" t="str">
        <f t="shared" si="0"/>
        <v>xich= 26.5453,</v>
      </c>
    </row>
    <row r="39" spans="2:5" x14ac:dyDescent="0.3">
      <c r="B39" s="15">
        <v>4.5427100000000004E-6</v>
      </c>
      <c r="D39" t="s">
        <v>359</v>
      </c>
      <c r="E39" t="str">
        <f t="shared" si="0"/>
        <v>xipr= 0.00000454271,</v>
      </c>
    </row>
    <row r="40" spans="2:5" x14ac:dyDescent="0.3">
      <c r="B40" s="15">
        <v>1.4710599999999999E-6</v>
      </c>
      <c r="D40" t="s">
        <v>360</v>
      </c>
      <c r="E40" t="str">
        <f t="shared" si="0"/>
        <v>xili= 0.00000147106,</v>
      </c>
    </row>
    <row r="41" spans="2:5" x14ac:dyDescent="0.3">
      <c r="B41">
        <v>26.545300000000001</v>
      </c>
      <c r="D41" t="s">
        <v>361</v>
      </c>
      <c r="E41" t="str">
        <f t="shared" si="0"/>
        <v>xi= 26.5453,</v>
      </c>
    </row>
    <row r="42" spans="2:5" x14ac:dyDescent="0.3">
      <c r="B42">
        <v>0.27826400000000001</v>
      </c>
      <c r="D42" t="s">
        <v>362</v>
      </c>
      <c r="E42" t="str">
        <f t="shared" si="0"/>
        <v>xli= 0.278264,</v>
      </c>
    </row>
    <row r="43" spans="2:5" x14ac:dyDescent="0.3">
      <c r="B43">
        <v>7.2036800000000003</v>
      </c>
      <c r="D43" t="s">
        <v>363</v>
      </c>
      <c r="E43" t="str">
        <f t="shared" si="0"/>
        <v>xlig= 7.20368,</v>
      </c>
    </row>
    <row r="44" spans="2:5" x14ac:dyDescent="0.3">
      <c r="B44" s="15">
        <v>6.7992799999999999E-25</v>
      </c>
      <c r="D44" t="s">
        <v>364</v>
      </c>
      <c r="E44" t="str">
        <f t="shared" si="0"/>
        <v>xmag= 6.79928E-25,</v>
      </c>
    </row>
    <row r="45" spans="2:5" x14ac:dyDescent="0.3">
      <c r="B45">
        <v>0.450934</v>
      </c>
      <c r="D45" t="s">
        <v>365</v>
      </c>
      <c r="E45" t="str">
        <f t="shared" si="0"/>
        <v>xp= 0.450934,</v>
      </c>
    </row>
    <row r="46" spans="2:5" x14ac:dyDescent="0.3">
      <c r="B46">
        <v>0.120425</v>
      </c>
      <c r="D46" t="s">
        <v>366</v>
      </c>
      <c r="E46" t="str">
        <f t="shared" si="0"/>
        <v>xprr= 0.120425,</v>
      </c>
    </row>
    <row r="47" spans="2:5" x14ac:dyDescent="0.3">
      <c r="B47">
        <v>0.64036499999999996</v>
      </c>
      <c r="D47" t="s">
        <v>367</v>
      </c>
      <c r="E47" t="str">
        <f t="shared" si="0"/>
        <v>xprs= 0.640365,</v>
      </c>
    </row>
    <row r="48" spans="2:5" x14ac:dyDescent="0.3">
      <c r="B48">
        <v>0.29532799999999998</v>
      </c>
      <c r="D48" t="s">
        <v>368</v>
      </c>
      <c r="E48" t="str">
        <f t="shared" si="0"/>
        <v>xpro= 0.295328,</v>
      </c>
    </row>
    <row r="49" spans="2:5" x14ac:dyDescent="0.3">
      <c r="B49">
        <v>9.2211399999999992E-3</v>
      </c>
      <c r="D49" t="s">
        <v>369</v>
      </c>
      <c r="E49" t="str">
        <f t="shared" si="0"/>
        <v>xstru= 0.00922114,</v>
      </c>
    </row>
    <row r="50" spans="2:5" x14ac:dyDescent="0.3">
      <c r="B50">
        <v>2.14263</v>
      </c>
      <c r="D50" t="s">
        <v>370</v>
      </c>
      <c r="E50" t="str">
        <f t="shared" si="0"/>
        <v>xsu= 2.14263,</v>
      </c>
    </row>
    <row r="51" spans="2:5" x14ac:dyDescent="0.3">
      <c r="B51">
        <v>13.1128</v>
      </c>
      <c r="D51" t="s">
        <v>371</v>
      </c>
      <c r="E51" t="str">
        <f>_xlfn.CONCAT(D51,"= ",B51)</f>
        <v>ashp= 13.1128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D306-95F5-4719-8DDE-5E86FDDC5AA2}">
  <dimension ref="A1:T98"/>
  <sheetViews>
    <sheetView zoomScale="80" zoomScaleNormal="80" workbookViewId="0">
      <selection activeCell="R44" sqref="R44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</cols>
  <sheetData>
    <row r="1" spans="1:20" ht="15" thickBot="1" x14ac:dyDescent="0.35">
      <c r="A1" s="3" t="s">
        <v>57</v>
      </c>
      <c r="B1" s="3" t="s">
        <v>58</v>
      </c>
      <c r="C1" s="3"/>
      <c r="D1" s="16" t="s">
        <v>374</v>
      </c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0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0" x14ac:dyDescent="0.3">
      <c r="A3" s="7" t="s">
        <v>375</v>
      </c>
      <c r="B3" s="2" t="str">
        <f>A3</f>
        <v>1.65728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1.65728;</v>
      </c>
      <c r="J3" s="5" t="str">
        <f t="shared" ref="J3:J51" si="0">_xlfn.CONCAT(D3," ",E3," ",F3," ",G3," ",H3,)</f>
        <v>parameter SI.MassConcentration X_su_start = 1.65728;</v>
      </c>
      <c r="L3" t="str">
        <f t="shared" ref="L3:L9" si="1">SUBSTITUTE(_xlfn.CONCAT(F3," ",G3," ",H3),";",",")</f>
        <v>X_su_start = 1.65728,</v>
      </c>
      <c r="P3" s="4" t="str">
        <f>L3</f>
        <v>X_su_start = 1.65728,</v>
      </c>
      <c r="R3" s="12" t="str">
        <f>_xlfn.CONCAT("digester.",P3)</f>
        <v>digester.X_su_start = 1.65728,</v>
      </c>
      <c r="T3" t="str">
        <f>_xlfn.CONCAT("uit.",R3)</f>
        <v>uit.digester.X_su_start = 1.65728,</v>
      </c>
    </row>
    <row r="4" spans="1:20" x14ac:dyDescent="0.3">
      <c r="A4" s="8" t="s">
        <v>376</v>
      </c>
      <c r="B4" s="2" t="str">
        <f t="shared" ref="B4:B9" si="2">A4</f>
        <v>0.541241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0.541241;</v>
      </c>
      <c r="J4" s="5" t="str">
        <f t="shared" si="0"/>
        <v>parameter SI.MassConcentration X_aa_start = 0.541241;</v>
      </c>
      <c r="L4" t="str">
        <f t="shared" si="1"/>
        <v>X_aa_start = 0.541241,</v>
      </c>
      <c r="P4" s="5" t="str">
        <f t="shared" ref="P4:P9" si="4">L4</f>
        <v>X_aa_start = 0.541241,</v>
      </c>
      <c r="R4" s="13" t="str">
        <f t="shared" ref="R4:R42" si="5">_xlfn.CONCAT("digester.",P4)</f>
        <v>digester.X_aa_start = 0.541241,</v>
      </c>
      <c r="T4" t="str">
        <f t="shared" ref="T4:T44" si="6">_xlfn.CONCAT("uit.",R4)</f>
        <v>uit.digester.X_aa_start = 0.541241,</v>
      </c>
    </row>
    <row r="5" spans="1:20" x14ac:dyDescent="0.3">
      <c r="A5" s="8" t="s">
        <v>377</v>
      </c>
      <c r="B5" s="2" t="str">
        <f t="shared" si="2"/>
        <v>0.160968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0.160968;</v>
      </c>
      <c r="J5" s="5" t="str">
        <f t="shared" si="0"/>
        <v>parameter SI.MassConcentration X_fa_start = 0.160968;</v>
      </c>
      <c r="L5" t="str">
        <f t="shared" si="1"/>
        <v>X_fa_start = 0.160968,</v>
      </c>
      <c r="P5" s="5" t="str">
        <f t="shared" si="4"/>
        <v>X_fa_start = 0.160968,</v>
      </c>
      <c r="R5" s="13" t="str">
        <f t="shared" si="5"/>
        <v>digester.X_fa_start = 0.160968,</v>
      </c>
      <c r="T5" t="str">
        <f t="shared" si="6"/>
        <v>uit.digester.X_fa_start = 0.160968,</v>
      </c>
    </row>
    <row r="6" spans="1:20" x14ac:dyDescent="0.3">
      <c r="A6" s="8" t="s">
        <v>378</v>
      </c>
      <c r="B6" s="2" t="str">
        <f t="shared" si="2"/>
        <v>0.375958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0.375958;</v>
      </c>
      <c r="J6" s="5" t="str">
        <f t="shared" si="0"/>
        <v>parameter SI.MassConcentration X_c4_start = 0.375958;</v>
      </c>
      <c r="L6" t="str">
        <f t="shared" si="1"/>
        <v>X_c4_start = 0.375958,</v>
      </c>
      <c r="P6" s="5" t="str">
        <f t="shared" si="4"/>
        <v>X_c4_start = 0.375958,</v>
      </c>
      <c r="R6" s="13" t="str">
        <f t="shared" si="5"/>
        <v>digester.X_c4_start = 0.375958,</v>
      </c>
      <c r="T6" t="str">
        <f t="shared" si="6"/>
        <v>uit.digester.X_c4_start = 0.375958,</v>
      </c>
    </row>
    <row r="7" spans="1:20" x14ac:dyDescent="0.3">
      <c r="A7" s="8" t="s">
        <v>379</v>
      </c>
      <c r="B7" s="2" t="str">
        <f t="shared" si="2"/>
        <v>0.21632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0.21632;</v>
      </c>
      <c r="J7" s="5" t="str">
        <f t="shared" si="0"/>
        <v>parameter SI.MassConcentration X_pro_start = 0.21632;</v>
      </c>
      <c r="L7" t="str">
        <f t="shared" si="1"/>
        <v>X_pro_start = 0.21632,</v>
      </c>
      <c r="P7" s="5" t="str">
        <f t="shared" si="4"/>
        <v>X_pro_start = 0.21632,</v>
      </c>
      <c r="R7" s="13" t="str">
        <f t="shared" si="5"/>
        <v>digester.X_pro_start = 0.21632,</v>
      </c>
      <c r="T7" t="str">
        <f t="shared" si="6"/>
        <v>uit.digester.X_pro_start = 0.21632,</v>
      </c>
    </row>
    <row r="8" spans="1:20" x14ac:dyDescent="0.3">
      <c r="A8" s="8" t="s">
        <v>380</v>
      </c>
      <c r="B8" s="2" t="str">
        <f t="shared" si="2"/>
        <v>0.891913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0.891913;</v>
      </c>
      <c r="J8" s="5" t="str">
        <f t="shared" si="0"/>
        <v>parameter SI.MassConcentration X_ac_start = 0.891913;</v>
      </c>
      <c r="L8" t="str">
        <f t="shared" si="1"/>
        <v>X_ac_start = 0.891913,</v>
      </c>
      <c r="P8" s="5" t="str">
        <f t="shared" si="4"/>
        <v>X_ac_start = 0.891913,</v>
      </c>
      <c r="R8" s="13" t="str">
        <f t="shared" si="5"/>
        <v>digester.X_ac_start = 0.891913,</v>
      </c>
      <c r="T8" t="str">
        <f t="shared" si="6"/>
        <v>uit.digester.X_ac_start = 0.891913,</v>
      </c>
    </row>
    <row r="9" spans="1:20" x14ac:dyDescent="0.3">
      <c r="A9" s="8" t="s">
        <v>381</v>
      </c>
      <c r="B9" s="2" t="str">
        <f t="shared" si="2"/>
        <v>0.416472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0.416472;</v>
      </c>
      <c r="J9" s="5" t="str">
        <f t="shared" si="0"/>
        <v>parameter SI.MassConcentration X_h2_start = 0.416472;</v>
      </c>
      <c r="L9" t="str">
        <f t="shared" si="1"/>
        <v>X_h2_start = 0.416472,</v>
      </c>
      <c r="P9" s="5" t="str">
        <f t="shared" si="4"/>
        <v>X_h2_start = 0.416472,</v>
      </c>
      <c r="R9" s="13" t="str">
        <f t="shared" si="5"/>
        <v>digester.X_h2_start = 0.416472,</v>
      </c>
      <c r="T9" t="str">
        <f t="shared" si="6"/>
        <v>uit.digester.X_h2_start = 0.416472,</v>
      </c>
    </row>
    <row r="10" spans="1:20" x14ac:dyDescent="0.3">
      <c r="A10" s="8" t="s">
        <v>47</v>
      </c>
      <c r="B10" s="2"/>
      <c r="D10" t="s">
        <v>11</v>
      </c>
      <c r="E10" t="s">
        <v>12</v>
      </c>
      <c r="J10" s="5" t="str">
        <f t="shared" si="0"/>
        <v xml:space="preserve">//Particulate substrate   </v>
      </c>
      <c r="P10" s="5" t="str">
        <f t="shared" ref="P10:P15" si="7">L11</f>
        <v>X_c_start = 0,</v>
      </c>
      <c r="R10" s="13" t="str">
        <f t="shared" si="5"/>
        <v>digester.X_c_start = 0,</v>
      </c>
      <c r="T10" t="str">
        <f t="shared" si="6"/>
        <v>uit.digester.X_c_start = 0,</v>
      </c>
    </row>
    <row r="11" spans="1:20" x14ac:dyDescent="0.3">
      <c r="A11" s="8" t="s">
        <v>382</v>
      </c>
      <c r="B11" s="2" t="str">
        <f>A10</f>
        <v>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0;</v>
      </c>
      <c r="J11" s="5" t="str">
        <f t="shared" si="0"/>
        <v>parameter SI.MassConcentration X_c_start = 0;</v>
      </c>
      <c r="L11" t="str">
        <f>SUBSTITUTE(_xlfn.CONCAT(F11," ",G11," ",H11),";",",")</f>
        <v>X_c_start = 0,</v>
      </c>
      <c r="P11" s="5" t="str">
        <f t="shared" si="7"/>
        <v>X_i_start = 24.9314,</v>
      </c>
      <c r="R11" s="13" t="str">
        <f t="shared" si="5"/>
        <v>digester.X_i_start = 24.9314,</v>
      </c>
      <c r="T11" t="str">
        <f t="shared" si="6"/>
        <v>uit.digester.X_i_start = 24.9314,</v>
      </c>
    </row>
    <row r="12" spans="1:20" x14ac:dyDescent="0.3">
      <c r="A12" s="8" t="s">
        <v>383</v>
      </c>
      <c r="B12" s="2" t="str">
        <f t="shared" ref="B12:B27" si="8">A11</f>
        <v>24.9314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24.9314;</v>
      </c>
      <c r="J12" s="5" t="str">
        <f t="shared" si="0"/>
        <v>parameter SI.MassConcentration X_i_start = 24.9314;</v>
      </c>
      <c r="L12" t="str">
        <f>SUBSTITUTE(_xlfn.CONCAT(F12," ",G12," ",H12),";",",")</f>
        <v>X_i_start = 24.9314,</v>
      </c>
      <c r="P12" s="5" t="str">
        <f t="shared" si="7"/>
        <v>X_ch_start = {1.46379,0.69305,2.06708},</v>
      </c>
      <c r="R12" s="13" t="str">
        <f t="shared" si="5"/>
        <v>digester.X_ch_start = {1.46379,0.69305,2.06708},</v>
      </c>
      <c r="T12" t="str">
        <f t="shared" si="6"/>
        <v>uit.digester.X_ch_start = {1.46379,0.69305,2.06708},</v>
      </c>
    </row>
    <row r="13" spans="1:20" x14ac:dyDescent="0.3">
      <c r="A13" s="8" t="s">
        <v>384</v>
      </c>
      <c r="B13" s="2" t="str">
        <f t="shared" si="8"/>
        <v>1.46379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{1.46379,0.69305,2.06708};</v>
      </c>
      <c r="J13" s="5" t="str">
        <f t="shared" si="0"/>
        <v>parameter SI.MassConcentration X_ch_start[3] = {1.46379,0.69305,2.06708};</v>
      </c>
      <c r="L13" t="str">
        <f>SUBSTITUTE(SUBSTITUTE(_xlfn.CONCAT(F13," ",G13," ",H13),";",","),"[3]","")</f>
        <v>X_ch_start = {1.46379,0.69305,2.06708},</v>
      </c>
      <c r="P13" s="5" t="str">
        <f t="shared" si="7"/>
        <v>X_pr_start = {0.190092,0.666805},</v>
      </c>
      <c r="R13" s="13" t="str">
        <f t="shared" si="5"/>
        <v>digester.X_pr_start = {0.190092,0.666805},</v>
      </c>
      <c r="T13" t="str">
        <f t="shared" si="6"/>
        <v>uit.digester.X_pr_start = {0.190092,0.666805},</v>
      </c>
    </row>
    <row r="14" spans="1:20" x14ac:dyDescent="0.3">
      <c r="A14" s="8" t="s">
        <v>385</v>
      </c>
      <c r="B14" s="2" t="str">
        <f t="shared" si="8"/>
        <v>0.69305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{0.190092,0.666805};</v>
      </c>
      <c r="J14" s="5" t="str">
        <f t="shared" si="0"/>
        <v>parameter SI.MassConcentration X_pr_start[2] = {0.190092,0.666805};</v>
      </c>
      <c r="L14" t="str">
        <f>SUBSTITUTE(SUBSTITUTE(_xlfn.CONCAT(F14," ",G14," ",H14),";",","),"[2]","")</f>
        <v>X_pr_start = {0.190092,0.666805},</v>
      </c>
      <c r="P14" s="5" t="str">
        <f t="shared" si="7"/>
        <v>X_li_start = 0.323295,</v>
      </c>
      <c r="R14" s="13" t="str">
        <f t="shared" si="5"/>
        <v>digester.X_li_start = 0.323295,</v>
      </c>
      <c r="T14" t="str">
        <f t="shared" si="6"/>
        <v>uit.digester.X_li_start = 0.323295,</v>
      </c>
    </row>
    <row r="15" spans="1:20" x14ac:dyDescent="0.3">
      <c r="A15" s="8" t="s">
        <v>386</v>
      </c>
      <c r="B15" s="2" t="str">
        <f t="shared" si="8"/>
        <v>2.06708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0.323295;</v>
      </c>
      <c r="J15" s="5" t="str">
        <f t="shared" si="0"/>
        <v>parameter SI.MassConcentration X_li_start = 0.323295;</v>
      </c>
      <c r="L15" t="str">
        <f>SUBSTITUTE(_xlfn.CONCAT(F15," ",G15," ",H15),";",",")</f>
        <v>X_li_start = 0.323295,</v>
      </c>
      <c r="P15" s="5" t="str">
        <f t="shared" si="7"/>
        <v>X_p_start = 0.343258,</v>
      </c>
      <c r="R15" s="13" t="str">
        <f t="shared" si="5"/>
        <v>digester.X_p_start = 0.343258,</v>
      </c>
      <c r="T15" t="str">
        <f t="shared" si="6"/>
        <v>uit.digester.X_p_start = 0.343258,</v>
      </c>
    </row>
    <row r="16" spans="1:20" x14ac:dyDescent="0.3">
      <c r="A16" s="8" t="s">
        <v>387</v>
      </c>
      <c r="B16" s="2" t="str">
        <f t="shared" si="8"/>
        <v>0.190092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0.343258;</v>
      </c>
      <c r="J16" s="5" t="str">
        <f t="shared" si="0"/>
        <v>parameter SI.MassConcentration X_p_start = 0.343258;</v>
      </c>
      <c r="L16" t="str">
        <f>SUBSTITUTE(_xlfn.CONCAT(F16," ",G16," ",H16),";",",")</f>
        <v>X_p_start = 0.343258,</v>
      </c>
      <c r="P16" s="5" t="str">
        <f t="shared" ref="P16:P23" si="9">L20</f>
        <v>S_i_start = 0.0858146,</v>
      </c>
      <c r="R16" s="13" t="str">
        <f t="shared" si="5"/>
        <v>digester.S_i_start = 0.0858146,</v>
      </c>
      <c r="T16" t="str">
        <f t="shared" si="6"/>
        <v>uit.digester.S_i_start = 0.0858146,</v>
      </c>
    </row>
    <row r="17" spans="1:20" x14ac:dyDescent="0.3">
      <c r="A17" s="8" t="s">
        <v>388</v>
      </c>
      <c r="B17" s="2" t="str">
        <f t="shared" si="8"/>
        <v>0.666805</v>
      </c>
      <c r="D17" t="s">
        <v>19</v>
      </c>
      <c r="J17" s="5" t="str">
        <f t="shared" si="0"/>
        <v xml:space="preserve">//    </v>
      </c>
      <c r="P17" s="5" t="str">
        <f t="shared" si="9"/>
        <v>S_su_start = 0.0299818,</v>
      </c>
      <c r="R17" s="13" t="str">
        <f t="shared" si="5"/>
        <v>digester.S_su_start = 0.0299818,</v>
      </c>
      <c r="T17" t="str">
        <f t="shared" si="6"/>
        <v>uit.digester.S_su_start = 0.0299818,</v>
      </c>
    </row>
    <row r="18" spans="1:20" x14ac:dyDescent="0.3">
      <c r="A18" s="8" t="s">
        <v>389</v>
      </c>
      <c r="B18" s="2" t="str">
        <f t="shared" si="8"/>
        <v>0.323295</v>
      </c>
      <c r="D18" t="s">
        <v>19</v>
      </c>
      <c r="J18" s="5" t="str">
        <f t="shared" si="0"/>
        <v xml:space="preserve">//    </v>
      </c>
      <c r="P18" s="5" t="str">
        <f t="shared" si="9"/>
        <v>S_aa_start = 0.025083,</v>
      </c>
      <c r="R18" s="13" t="str">
        <f t="shared" si="5"/>
        <v>digester.S_aa_start = 0.025083,</v>
      </c>
      <c r="T18" t="str">
        <f t="shared" si="6"/>
        <v>uit.digester.S_aa_start = 0.025083,</v>
      </c>
    </row>
    <row r="19" spans="1:20" x14ac:dyDescent="0.3">
      <c r="A19" s="8" t="s">
        <v>390</v>
      </c>
      <c r="B19" s="2" t="str">
        <f t="shared" si="8"/>
        <v>0.343258</v>
      </c>
      <c r="D19" t="s">
        <v>20</v>
      </c>
      <c r="E19" t="s">
        <v>12</v>
      </c>
      <c r="J19" s="5" t="str">
        <f t="shared" si="0"/>
        <v xml:space="preserve">//Soluble substrate   </v>
      </c>
      <c r="P19" s="5" t="str">
        <f t="shared" si="9"/>
        <v>S_fa_start = 0.0504583,</v>
      </c>
      <c r="R19" s="13" t="str">
        <f t="shared" si="5"/>
        <v>digester.S_fa_start = 0.0504583,</v>
      </c>
      <c r="T19" t="str">
        <f t="shared" si="6"/>
        <v>uit.digester.S_fa_start = 0.0504583,</v>
      </c>
    </row>
    <row r="20" spans="1:20" x14ac:dyDescent="0.3">
      <c r="A20" s="8" t="s">
        <v>391</v>
      </c>
      <c r="B20" s="2" t="str">
        <f t="shared" si="8"/>
        <v>0.0858146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0.0858146;</v>
      </c>
      <c r="J20" s="5" t="str">
        <f t="shared" si="0"/>
        <v>parameter SI.MassConcentration S_i_start = 0.0858146;</v>
      </c>
      <c r="L20" t="str">
        <f t="shared" ref="L20:L27" si="10">SUBSTITUTE(_xlfn.CONCAT(F20," ",G20," ",H20),";",",")</f>
        <v>S_i_start = 0.0858146,</v>
      </c>
      <c r="P20" s="5" t="str">
        <f t="shared" si="9"/>
        <v>S_va_start = 0.00966647,</v>
      </c>
      <c r="R20" s="13" t="str">
        <f t="shared" si="5"/>
        <v>digester.S_va_start = 0.00966647,</v>
      </c>
      <c r="T20" t="str">
        <f t="shared" si="6"/>
        <v>uit.digester.S_va_start = 0.00966647,</v>
      </c>
    </row>
    <row r="21" spans="1:20" x14ac:dyDescent="0.3">
      <c r="A21" s="8" t="s">
        <v>392</v>
      </c>
      <c r="B21" s="2" t="str">
        <f t="shared" si="8"/>
        <v>0.0299818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1">_xlfn.CONCAT(B21,";")</f>
        <v>0.0299818;</v>
      </c>
      <c r="J21" s="5" t="str">
        <f t="shared" si="0"/>
        <v>parameter SI.MassConcentration S_su_start = 0.0299818;</v>
      </c>
      <c r="L21" t="str">
        <f t="shared" si="10"/>
        <v>S_su_start = 0.0299818,</v>
      </c>
      <c r="P21" s="5" t="str">
        <f t="shared" si="9"/>
        <v>S_bu_start = 0.0155887,</v>
      </c>
      <c r="R21" s="13" t="str">
        <f t="shared" si="5"/>
        <v>digester.S_bu_start = 0.0155887,</v>
      </c>
      <c r="T21" t="str">
        <f t="shared" si="6"/>
        <v>uit.digester.S_bu_start = 0.0155887,</v>
      </c>
    </row>
    <row r="22" spans="1:20" x14ac:dyDescent="0.3">
      <c r="A22" s="8" t="s">
        <v>393</v>
      </c>
      <c r="B22" s="2" t="str">
        <f t="shared" si="8"/>
        <v>0.025083</v>
      </c>
      <c r="D22" t="s">
        <v>1</v>
      </c>
      <c r="E22" t="s">
        <v>2</v>
      </c>
      <c r="F22" t="s">
        <v>23</v>
      </c>
      <c r="G22" t="s">
        <v>4</v>
      </c>
      <c r="H22" t="str">
        <f t="shared" si="11"/>
        <v>0.025083;</v>
      </c>
      <c r="J22" s="5" t="str">
        <f t="shared" si="0"/>
        <v>parameter SI.MassConcentration S_aa_start = 0.025083;</v>
      </c>
      <c r="L22" t="str">
        <f t="shared" si="10"/>
        <v>S_aa_start = 0.025083,</v>
      </c>
      <c r="P22" s="5" t="str">
        <f t="shared" si="9"/>
        <v>S_pro_start = 0.0186578,</v>
      </c>
      <c r="R22" s="13" t="str">
        <f t="shared" si="5"/>
        <v>digester.S_pro_start = 0.0186578,</v>
      </c>
      <c r="T22" t="str">
        <f t="shared" si="6"/>
        <v>uit.digester.S_pro_start = 0.0186578,</v>
      </c>
    </row>
    <row r="23" spans="1:20" x14ac:dyDescent="0.3">
      <c r="A23" s="8" t="s">
        <v>394</v>
      </c>
      <c r="B23" s="2" t="str">
        <f t="shared" si="8"/>
        <v>0.0504583</v>
      </c>
      <c r="D23" t="s">
        <v>1</v>
      </c>
      <c r="E23" t="s">
        <v>2</v>
      </c>
      <c r="F23" t="s">
        <v>24</v>
      </c>
      <c r="G23" t="s">
        <v>4</v>
      </c>
      <c r="H23" t="str">
        <f t="shared" si="11"/>
        <v>0.0504583;</v>
      </c>
      <c r="J23" s="5" t="str">
        <f t="shared" si="0"/>
        <v>parameter SI.MassConcentration S_fa_start = 0.0504583;</v>
      </c>
      <c r="L23" t="str">
        <f t="shared" si="10"/>
        <v>S_fa_start = 0.0504583,</v>
      </c>
      <c r="P23" s="5" t="str">
        <f t="shared" si="9"/>
        <v>S_ac_start = 1.07684,</v>
      </c>
      <c r="R23" s="13" t="str">
        <f t="shared" si="5"/>
        <v>digester.S_ac_start = 1.07684,</v>
      </c>
      <c r="T23" t="str">
        <f t="shared" si="6"/>
        <v>uit.digester.S_ac_start = 1.07684,</v>
      </c>
    </row>
    <row r="24" spans="1:20" x14ac:dyDescent="0.3">
      <c r="A24" s="8" t="s">
        <v>395</v>
      </c>
      <c r="B24" s="2" t="str">
        <f t="shared" si="8"/>
        <v>0.00966647</v>
      </c>
      <c r="D24" t="s">
        <v>1</v>
      </c>
      <c r="E24" t="s">
        <v>2</v>
      </c>
      <c r="F24" t="s">
        <v>25</v>
      </c>
      <c r="G24" t="s">
        <v>4</v>
      </c>
      <c r="H24" t="str">
        <f t="shared" si="11"/>
        <v>0.00966647;</v>
      </c>
      <c r="J24" s="5" t="str">
        <f t="shared" si="0"/>
        <v>parameter SI.MassConcentration S_va_start = 0.00966647;</v>
      </c>
      <c r="L24" t="str">
        <f t="shared" si="10"/>
        <v>S_va_start = 0.00966647,</v>
      </c>
      <c r="P24" s="5" t="str">
        <f>L29</f>
        <v>S_h2_start = 2.33354e-07,</v>
      </c>
      <c r="R24" s="13" t="str">
        <f t="shared" si="5"/>
        <v>digester.S_h2_start = 2.33354e-07,</v>
      </c>
      <c r="T24" t="str">
        <f t="shared" si="6"/>
        <v>uit.digester.S_h2_start = 2.33354e-07,</v>
      </c>
    </row>
    <row r="25" spans="1:20" x14ac:dyDescent="0.3">
      <c r="A25" s="8" t="s">
        <v>396</v>
      </c>
      <c r="B25" s="2" t="str">
        <f t="shared" si="8"/>
        <v>0.0155887</v>
      </c>
      <c r="D25" t="s">
        <v>1</v>
      </c>
      <c r="E25" t="s">
        <v>2</v>
      </c>
      <c r="F25" t="s">
        <v>26</v>
      </c>
      <c r="G25" t="s">
        <v>4</v>
      </c>
      <c r="H25" t="str">
        <f t="shared" si="11"/>
        <v>0.0155887;</v>
      </c>
      <c r="J25" s="5" t="str">
        <f t="shared" si="0"/>
        <v>parameter SI.MassConcentration S_bu_start = 0.0155887;</v>
      </c>
      <c r="L25" t="str">
        <f t="shared" si="10"/>
        <v>S_bu_start = 0.0155887,</v>
      </c>
      <c r="P25" s="5" t="str">
        <f>L30</f>
        <v>S_ch4_start = 0.372485,</v>
      </c>
      <c r="R25" s="13" t="str">
        <f t="shared" si="5"/>
        <v>digester.S_ch4_start = 0.372485,</v>
      </c>
      <c r="T25" t="str">
        <f t="shared" si="6"/>
        <v>uit.digester.S_ch4_start = 0.372485,</v>
      </c>
    </row>
    <row r="26" spans="1:20" x14ac:dyDescent="0.3">
      <c r="A26" s="8" t="s">
        <v>397</v>
      </c>
      <c r="B26" s="2" t="str">
        <f t="shared" si="8"/>
        <v>0.0186578</v>
      </c>
      <c r="D26" t="s">
        <v>1</v>
      </c>
      <c r="E26" t="s">
        <v>2</v>
      </c>
      <c r="F26" t="s">
        <v>27</v>
      </c>
      <c r="G26" t="s">
        <v>4</v>
      </c>
      <c r="H26" t="str">
        <f t="shared" si="11"/>
        <v>0.0186578;</v>
      </c>
      <c r="J26" s="5" t="str">
        <f t="shared" si="0"/>
        <v>parameter SI.MassConcentration S_pro_start = 0.0186578;</v>
      </c>
      <c r="L26" t="str">
        <f t="shared" si="10"/>
        <v>S_pro_start = 0.0186578,</v>
      </c>
      <c r="P26" s="5" t="str">
        <f t="shared" ref="P26:P34" si="12">L32</f>
        <v>S_ic_start = 0.203826,</v>
      </c>
      <c r="R26" s="13" t="str">
        <f t="shared" si="5"/>
        <v>digester.S_ic_start = 0.203826,</v>
      </c>
      <c r="T26" t="str">
        <f t="shared" si="6"/>
        <v>uit.digester.S_ic_start = 0.203826,</v>
      </c>
    </row>
    <row r="27" spans="1:20" x14ac:dyDescent="0.3">
      <c r="A27" s="8" t="s">
        <v>398</v>
      </c>
      <c r="B27" s="2" t="str">
        <f t="shared" si="8"/>
        <v>1.07684</v>
      </c>
      <c r="D27" t="s">
        <v>1</v>
      </c>
      <c r="E27" t="s">
        <v>2</v>
      </c>
      <c r="F27" t="s">
        <v>28</v>
      </c>
      <c r="G27" t="s">
        <v>4</v>
      </c>
      <c r="H27" t="str">
        <f t="shared" si="11"/>
        <v>1.07684;</v>
      </c>
      <c r="J27" s="5" t="str">
        <f t="shared" si="0"/>
        <v>parameter SI.MassConcentration S_ac_start = 1.07684;</v>
      </c>
      <c r="L27" t="str">
        <f t="shared" si="10"/>
        <v>S_ac_start = 1.07684,</v>
      </c>
      <c r="P27" s="5" t="str">
        <f t="shared" si="12"/>
        <v>S_in_start = 0.116751,</v>
      </c>
      <c r="R27" s="13" t="str">
        <f t="shared" si="5"/>
        <v>digester.S_in_start = 0.116751,</v>
      </c>
      <c r="T27" t="str">
        <f t="shared" si="6"/>
        <v>uit.digester.S_in_start = 0.116751,</v>
      </c>
    </row>
    <row r="28" spans="1:20" x14ac:dyDescent="0.3">
      <c r="A28" s="8" t="s">
        <v>399</v>
      </c>
      <c r="B28" s="2" t="s">
        <v>46</v>
      </c>
      <c r="D28" t="s">
        <v>29</v>
      </c>
      <c r="E28" t="s">
        <v>30</v>
      </c>
      <c r="F28" t="s">
        <v>31</v>
      </c>
      <c r="J28" s="5" t="str">
        <f t="shared" si="0"/>
        <v xml:space="preserve">//Inorganic soluble components  </v>
      </c>
      <c r="P28" s="5" t="str">
        <f t="shared" si="12"/>
        <v>S_ip_start = 0.00420842,</v>
      </c>
      <c r="R28" s="13" t="str">
        <f t="shared" si="5"/>
        <v>digester.S_ip_start = 0.00420842,</v>
      </c>
      <c r="T28" t="str">
        <f t="shared" si="6"/>
        <v>uit.digester.S_ip_start = 0.00420842,</v>
      </c>
    </row>
    <row r="29" spans="1:20" x14ac:dyDescent="0.3">
      <c r="A29" s="8" t="s">
        <v>400</v>
      </c>
      <c r="B29" s="2" t="str">
        <f>A27</f>
        <v>2.33354e-07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1"/>
        <v>2.33354e-07;</v>
      </c>
      <c r="J29" s="5" t="str">
        <f t="shared" si="0"/>
        <v>parameter SI.MassConcentration S_h2_start = 2.33354e-07;</v>
      </c>
      <c r="L29" t="str">
        <f>SUBSTITUTE(_xlfn.CONCAT(F29," ",G29," ",H29),";",",")</f>
        <v>S_h2_start = 2.33354e-07,</v>
      </c>
      <c r="P29" s="5" t="str">
        <f t="shared" si="12"/>
        <v>S_cat_start = 0.119452,</v>
      </c>
      <c r="R29" s="13" t="str">
        <f t="shared" si="5"/>
        <v>digester.S_cat_start = 0.119452,</v>
      </c>
      <c r="T29" t="str">
        <f t="shared" si="6"/>
        <v>uit.digester.S_cat_start = 0.119452,</v>
      </c>
    </row>
    <row r="30" spans="1:20" x14ac:dyDescent="0.3">
      <c r="A30" s="8" t="s">
        <v>401</v>
      </c>
      <c r="B30" s="2" t="str">
        <f>A28</f>
        <v>0.372485</v>
      </c>
      <c r="D30" t="s">
        <v>1</v>
      </c>
      <c r="E30" t="s">
        <v>2</v>
      </c>
      <c r="F30" t="s">
        <v>33</v>
      </c>
      <c r="G30" t="s">
        <v>4</v>
      </c>
      <c r="H30" t="str">
        <f t="shared" si="11"/>
        <v>0.372485;</v>
      </c>
      <c r="J30" s="5" t="str">
        <f t="shared" si="0"/>
        <v>parameter SI.MassConcentration S_ch4_start = 0.372485;</v>
      </c>
      <c r="L30" t="str">
        <f>SUBSTITUTE(_xlfn.CONCAT(F30," ",G30," ",H30),";",",")</f>
        <v>S_ch4_start = 0.372485,</v>
      </c>
      <c r="P30" s="5" t="str">
        <f t="shared" si="12"/>
        <v>S_ca_start = 5.63432e-05,</v>
      </c>
      <c r="R30" s="13" t="str">
        <f t="shared" si="5"/>
        <v>digester.S_ca_start = 5.63432e-05,</v>
      </c>
      <c r="T30" t="str">
        <f t="shared" si="6"/>
        <v>uit.digester.S_ca_start = 5.63432e-05,</v>
      </c>
    </row>
    <row r="31" spans="1:20" x14ac:dyDescent="0.3">
      <c r="A31" s="8" t="s">
        <v>402</v>
      </c>
      <c r="B31" s="2" t="s">
        <v>46</v>
      </c>
      <c r="D31" t="s">
        <v>34</v>
      </c>
      <c r="E31" t="s">
        <v>35</v>
      </c>
      <c r="F31" t="s">
        <v>31</v>
      </c>
      <c r="J31" s="5" t="str">
        <f t="shared" si="0"/>
        <v xml:space="preserve">//Ionic total components  </v>
      </c>
      <c r="P31" s="5" t="str">
        <f t="shared" si="12"/>
        <v>S_mg_start = 0.000122709,</v>
      </c>
      <c r="R31" s="13" t="str">
        <f t="shared" si="5"/>
        <v>digester.S_mg_start = 0.000122709,</v>
      </c>
      <c r="T31" t="str">
        <f t="shared" si="6"/>
        <v>uit.digester.S_mg_start = 0.000122709,</v>
      </c>
    </row>
    <row r="32" spans="1:20" x14ac:dyDescent="0.3">
      <c r="A32" s="8" t="s">
        <v>403</v>
      </c>
      <c r="B32" s="2" t="str">
        <f>A29</f>
        <v>0.203826</v>
      </c>
      <c r="D32" t="s">
        <v>1</v>
      </c>
      <c r="E32" t="s">
        <v>36</v>
      </c>
      <c r="F32" t="s">
        <v>37</v>
      </c>
      <c r="G32" t="s">
        <v>4</v>
      </c>
      <c r="H32" t="str">
        <f t="shared" si="11"/>
        <v>0.203826;</v>
      </c>
      <c r="J32" s="5" t="str">
        <f t="shared" si="0"/>
        <v>parameter Types.MolarDensity_M S_ic_start = 0.203826;</v>
      </c>
      <c r="L32" t="str">
        <f t="shared" ref="L32:L40" si="13">SUBSTITUTE(_xlfn.CONCAT(F32," ",G32," ",H32),";",",")</f>
        <v>S_ic_start = 0.203826,</v>
      </c>
      <c r="P32" s="5" t="str">
        <f t="shared" si="12"/>
        <v>S_an_start = 0.0182832,</v>
      </c>
      <c r="R32" s="13" t="str">
        <f t="shared" si="5"/>
        <v>digester.S_an_start = 0.0182832,</v>
      </c>
      <c r="T32" t="str">
        <f>_xlfn.CONCAT("uit.",R32)</f>
        <v>uit.digester.S_an_start = 0.0182832,</v>
      </c>
    </row>
    <row r="33" spans="1:20" x14ac:dyDescent="0.3">
      <c r="A33" s="8" t="s">
        <v>404</v>
      </c>
      <c r="B33" s="2" t="str">
        <f t="shared" ref="B33:B40" si="14">A30</f>
        <v>0.116751</v>
      </c>
      <c r="D33" t="s">
        <v>1</v>
      </c>
      <c r="E33" t="s">
        <v>36</v>
      </c>
      <c r="F33" t="s">
        <v>38</v>
      </c>
      <c r="G33" t="s">
        <v>4</v>
      </c>
      <c r="H33" t="str">
        <f t="shared" si="11"/>
        <v>0.116751;</v>
      </c>
      <c r="J33" s="5" t="str">
        <f t="shared" si="0"/>
        <v>parameter Types.MolarDensity_M S_in_start = 0.116751;</v>
      </c>
      <c r="L33" t="str">
        <f t="shared" si="13"/>
        <v>S_in_start = 0.116751,</v>
      </c>
      <c r="P33" s="5" t="str">
        <f t="shared" si="12"/>
        <v>ash_start = 12.8749,</v>
      </c>
      <c r="R33" s="13" t="str">
        <f t="shared" si="5"/>
        <v>digester.ash_start = 12.8749,</v>
      </c>
      <c r="T33" t="str">
        <f t="shared" si="6"/>
        <v>uit.digester.ash_start = 12.8749,</v>
      </c>
    </row>
    <row r="34" spans="1:20" x14ac:dyDescent="0.3">
      <c r="A34" s="8" t="s">
        <v>405</v>
      </c>
      <c r="B34" s="2" t="str">
        <f t="shared" si="14"/>
        <v>0.00420842</v>
      </c>
      <c r="D34" t="s">
        <v>1</v>
      </c>
      <c r="E34" t="s">
        <v>36</v>
      </c>
      <c r="F34" t="s">
        <v>39</v>
      </c>
      <c r="G34" t="s">
        <v>4</v>
      </c>
      <c r="H34" t="str">
        <f t="shared" si="11"/>
        <v>0.00420842;</v>
      </c>
      <c r="J34" s="5" t="str">
        <f t="shared" si="0"/>
        <v>parameter Types.MolarDensity_M S_ip_start = 0.00420842;</v>
      </c>
      <c r="L34" t="str">
        <f t="shared" si="13"/>
        <v>S_ip_start = 0.00420842,</v>
      </c>
      <c r="P34" s="5" t="str">
        <f t="shared" si="12"/>
        <v>X_lig_start = 7.88827,</v>
      </c>
      <c r="R34" s="13" t="str">
        <f t="shared" si="5"/>
        <v>digester.X_lig_start = 7.88827,</v>
      </c>
      <c r="T34" t="str">
        <f t="shared" si="6"/>
        <v>uit.digester.X_lig_start = 7.88827,</v>
      </c>
    </row>
    <row r="35" spans="1:20" x14ac:dyDescent="0.3">
      <c r="A35" s="8" t="s">
        <v>406</v>
      </c>
      <c r="B35" s="2" t="str">
        <f t="shared" si="14"/>
        <v>0.119452</v>
      </c>
      <c r="D35" t="s">
        <v>1</v>
      </c>
      <c r="E35" t="s">
        <v>36</v>
      </c>
      <c r="F35" t="s">
        <v>40</v>
      </c>
      <c r="G35" t="s">
        <v>4</v>
      </c>
      <c r="H35" t="str">
        <f t="shared" si="11"/>
        <v>0.119452;</v>
      </c>
      <c r="J35" s="5" t="str">
        <f t="shared" si="0"/>
        <v>parameter Types.MolarDensity_M S_cat_start = 0.119452;</v>
      </c>
      <c r="L35" t="str">
        <f t="shared" si="13"/>
        <v>S_cat_start = 0.119452,</v>
      </c>
      <c r="P35" s="5" t="str">
        <f>L43</f>
        <v>S_gas_h2_start = 1.35944e-06,</v>
      </c>
      <c r="R35" s="13" t="str">
        <f t="shared" si="5"/>
        <v>digester.S_gas_h2_start = 1.35944e-06,</v>
      </c>
      <c r="T35" t="str">
        <f t="shared" si="6"/>
        <v>uit.digester.S_gas_h2_start = 1.35944e-06,</v>
      </c>
    </row>
    <row r="36" spans="1:20" x14ac:dyDescent="0.3">
      <c r="A36" s="8" t="s">
        <v>407</v>
      </c>
      <c r="B36" s="2" t="str">
        <f t="shared" si="14"/>
        <v>5.63432e-05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1"/>
        <v>5.63432e-05;</v>
      </c>
      <c r="J36" s="5" t="str">
        <f t="shared" si="0"/>
        <v>parameter Types.MolarDensity_M S_ca_start = 5.63432e-05;</v>
      </c>
      <c r="L36" t="str">
        <f t="shared" si="13"/>
        <v>S_ca_start = 5.63432e-05,</v>
      </c>
      <c r="P36" s="5" t="str">
        <f>L44</f>
        <v>S_gas_ch4_start = 1.28316,</v>
      </c>
      <c r="R36" s="13" t="str">
        <f t="shared" si="5"/>
        <v>digester.S_gas_ch4_start = 1.28316,</v>
      </c>
      <c r="T36" t="str">
        <f t="shared" si="6"/>
        <v>uit.digester.S_gas_ch4_start = 1.28316,</v>
      </c>
    </row>
    <row r="37" spans="1:20" x14ac:dyDescent="0.3">
      <c r="A37" s="8" t="s">
        <v>408</v>
      </c>
      <c r="B37" s="2" t="str">
        <f t="shared" si="14"/>
        <v>0.000122709</v>
      </c>
      <c r="D37" t="s">
        <v>1</v>
      </c>
      <c r="E37" t="s">
        <v>36</v>
      </c>
      <c r="F37" t="s">
        <v>42</v>
      </c>
      <c r="G37" t="s">
        <v>4</v>
      </c>
      <c r="H37" t="str">
        <f t="shared" si="11"/>
        <v>0.000122709;</v>
      </c>
      <c r="J37" s="5" t="str">
        <f t="shared" si="0"/>
        <v>parameter Types.MolarDensity_M S_mg_start = 0.000122709;</v>
      </c>
      <c r="L37" t="str">
        <f t="shared" si="13"/>
        <v>S_mg_start = 0.000122709,</v>
      </c>
      <c r="P37" s="5" t="str">
        <f>L45</f>
        <v>S_gas_co2_start = 0.016337,</v>
      </c>
      <c r="R37" s="13" t="str">
        <f t="shared" si="5"/>
        <v>digester.S_gas_co2_start = 0.016337,</v>
      </c>
      <c r="T37" t="str">
        <f t="shared" si="6"/>
        <v>uit.digester.S_gas_co2_start = 0.016337,</v>
      </c>
    </row>
    <row r="38" spans="1:20" x14ac:dyDescent="0.3">
      <c r="A38" s="8" t="s">
        <v>409</v>
      </c>
      <c r="B38" s="2" t="str">
        <f t="shared" si="14"/>
        <v>0.0182832</v>
      </c>
      <c r="D38" t="s">
        <v>1</v>
      </c>
      <c r="E38" t="s">
        <v>36</v>
      </c>
      <c r="F38" t="s">
        <v>43</v>
      </c>
      <c r="G38" t="s">
        <v>4</v>
      </c>
      <c r="H38" t="str">
        <f t="shared" si="11"/>
        <v>0.0182832;</v>
      </c>
      <c r="J38" s="5" t="str">
        <f t="shared" si="0"/>
        <v>parameter Types.MolarDensity_M S_an_start = 0.0182832;</v>
      </c>
      <c r="L38" t="str">
        <f t="shared" si="13"/>
        <v>S_an_start = 0.0182832,</v>
      </c>
      <c r="P38" s="5" t="str">
        <f>L46</f>
        <v>S_gas_nh3_start = 1.81043e-06,</v>
      </c>
      <c r="R38" s="13" t="str">
        <f t="shared" si="5"/>
        <v>digester.S_gas_nh3_start = 1.81043e-06,</v>
      </c>
      <c r="T38" t="str">
        <f t="shared" si="6"/>
        <v>uit.digester.S_gas_nh3_start = 1.81043e-06,</v>
      </c>
    </row>
    <row r="39" spans="1:20" x14ac:dyDescent="0.3">
      <c r="A39" s="8" t="s">
        <v>410</v>
      </c>
      <c r="B39" s="2" t="str">
        <f t="shared" si="14"/>
        <v>12.8749</v>
      </c>
      <c r="D39" t="s">
        <v>1</v>
      </c>
      <c r="E39" t="s">
        <v>2</v>
      </c>
      <c r="F39" t="s">
        <v>44</v>
      </c>
      <c r="G39" t="s">
        <v>4</v>
      </c>
      <c r="H39" t="str">
        <f t="shared" si="11"/>
        <v>12.8749;</v>
      </c>
      <c r="J39" s="5" t="str">
        <f t="shared" si="0"/>
        <v>parameter SI.MassConcentration ash_start = 12.8749;</v>
      </c>
      <c r="L39" t="str">
        <f t="shared" si="13"/>
        <v>ash_start = 12.8749,</v>
      </c>
      <c r="P39" s="5" t="str">
        <f>L48</f>
        <v>X_acp_start = 1.50977e-11,</v>
      </c>
      <c r="R39" s="13" t="str">
        <f t="shared" si="5"/>
        <v>digester.X_acp_start = 1.50977e-11,</v>
      </c>
      <c r="T39" t="str">
        <f t="shared" si="6"/>
        <v>uit.digester.X_acp_start = 1.50977e-11,</v>
      </c>
    </row>
    <row r="40" spans="1:20" x14ac:dyDescent="0.3">
      <c r="A40" s="8" t="s">
        <v>411</v>
      </c>
      <c r="B40" s="2" t="str">
        <f t="shared" si="14"/>
        <v>7.88827</v>
      </c>
      <c r="D40" t="s">
        <v>1</v>
      </c>
      <c r="E40" t="s">
        <v>2</v>
      </c>
      <c r="F40" t="s">
        <v>45</v>
      </c>
      <c r="G40" t="s">
        <v>4</v>
      </c>
      <c r="H40" t="str">
        <f t="shared" si="11"/>
        <v>7.88827;</v>
      </c>
      <c r="J40" s="5" t="str">
        <f t="shared" si="0"/>
        <v>parameter SI.MassConcentration X_lig_start = 7.88827;</v>
      </c>
      <c r="L40" t="str">
        <f t="shared" si="13"/>
        <v>X_lig_start = 7.88827,</v>
      </c>
      <c r="P40" s="5" t="str">
        <f>L49</f>
        <v>X_stru_start = 0.0100953,</v>
      </c>
      <c r="R40" s="13" t="str">
        <f t="shared" si="5"/>
        <v>digester.X_stru_start = 0.0100953,</v>
      </c>
      <c r="T40" t="str">
        <f t="shared" si="6"/>
        <v>uit.digester.X_stru_start = 0.0100953,</v>
      </c>
    </row>
    <row r="41" spans="1:20" x14ac:dyDescent="0.3">
      <c r="A41" s="8" t="s">
        <v>412</v>
      </c>
      <c r="B41" s="2"/>
      <c r="D41" t="s">
        <v>19</v>
      </c>
      <c r="J41" s="5" t="str">
        <f t="shared" si="0"/>
        <v xml:space="preserve">//    </v>
      </c>
      <c r="P41" s="5" t="str">
        <f>L50</f>
        <v>X_ccm_start = 0.00537178,</v>
      </c>
      <c r="R41" s="13" t="str">
        <f t="shared" si="5"/>
        <v>digester.X_ccm_start = 0.00537178,</v>
      </c>
      <c r="T41" t="str">
        <f t="shared" si="6"/>
        <v>uit.digester.X_ccm_start = 0.00537178,</v>
      </c>
    </row>
    <row r="42" spans="1:20" ht="15" thickBot="1" x14ac:dyDescent="0.35">
      <c r="A42" s="8" t="s">
        <v>413</v>
      </c>
      <c r="B42" s="2"/>
      <c r="D42" t="s">
        <v>48</v>
      </c>
      <c r="E42" t="s">
        <v>31</v>
      </c>
      <c r="J42" s="5" t="str">
        <f t="shared" si="0"/>
        <v xml:space="preserve">//Gas components   </v>
      </c>
      <c r="P42" s="6" t="str">
        <f>L51</f>
        <v>X_mag_start = 2.76859e-9</v>
      </c>
      <c r="R42" s="13" t="str">
        <f t="shared" si="5"/>
        <v>digester.X_mag_start = 2.76859e-9</v>
      </c>
      <c r="T42" t="str">
        <f t="shared" si="6"/>
        <v>uit.digester.X_mag_start = 2.76859e-9</v>
      </c>
    </row>
    <row r="43" spans="1:20" ht="15" thickBot="1" x14ac:dyDescent="0.35">
      <c r="A43" s="8" t="s">
        <v>414</v>
      </c>
      <c r="B43" s="2" t="str">
        <f>A38</f>
        <v>1.35944e-06</v>
      </c>
      <c r="D43" t="s">
        <v>1</v>
      </c>
      <c r="E43" t="s">
        <v>2</v>
      </c>
      <c r="F43" t="s">
        <v>49</v>
      </c>
      <c r="G43" t="s">
        <v>4</v>
      </c>
      <c r="H43" t="str">
        <f t="shared" si="11"/>
        <v>1.35944e-06;</v>
      </c>
      <c r="J43" s="5" t="str">
        <f t="shared" si="0"/>
        <v>parameter SI.MassConcentration S_gas_h2_start = 1.35944e-06;</v>
      </c>
      <c r="L43" t="str">
        <f>SUBSTITUTE(_xlfn.CONCAT(F43," ",G43," ",H43),";",",")</f>
        <v>S_gas_h2_start = 1.35944e-06,</v>
      </c>
      <c r="P43" s="3" t="s">
        <v>62</v>
      </c>
      <c r="R43" s="13"/>
    </row>
    <row r="44" spans="1:20" ht="16.2" thickBot="1" x14ac:dyDescent="0.35">
      <c r="A44" s="8" t="s">
        <v>415</v>
      </c>
      <c r="B44" s="2" t="str">
        <f t="shared" ref="B44:B46" si="15">A39</f>
        <v>1.28316</v>
      </c>
      <c r="D44" t="s">
        <v>1</v>
      </c>
      <c r="E44" t="s">
        <v>2</v>
      </c>
      <c r="F44" t="s">
        <v>50</v>
      </c>
      <c r="G44" t="s">
        <v>4</v>
      </c>
      <c r="H44" t="str">
        <f t="shared" si="11"/>
        <v>1.28316;</v>
      </c>
      <c r="J44" s="5" t="str">
        <f t="shared" si="0"/>
        <v>parameter SI.MassConcentration S_gas_ch4_start = 1.28316;</v>
      </c>
      <c r="L44" t="str">
        <f>SUBSTITUTE(_xlfn.CONCAT(F44," ",G44," ",H44),";",",")</f>
        <v>S_gas_ch4_start = 1.28316,</v>
      </c>
      <c r="P44" s="11" t="str">
        <f>L53</f>
        <v>xi_start = 0.0188717,</v>
      </c>
      <c r="R44" s="14" t="str">
        <f>_xlfn.CONCAT("limPID.",P44)</f>
        <v>limPID.xi_start = 0.0188717,</v>
      </c>
      <c r="T44" t="str">
        <f t="shared" si="6"/>
        <v>uit.limPID.xi_start = 0.0188717,</v>
      </c>
    </row>
    <row r="45" spans="1:20" ht="15" thickBot="1" x14ac:dyDescent="0.35">
      <c r="A45" s="9" t="s">
        <v>416</v>
      </c>
      <c r="B45" s="2" t="str">
        <f t="shared" si="15"/>
        <v>0.016337</v>
      </c>
      <c r="D45" t="s">
        <v>1</v>
      </c>
      <c r="E45" t="s">
        <v>36</v>
      </c>
      <c r="F45" t="s">
        <v>51</v>
      </c>
      <c r="G45" t="s">
        <v>4</v>
      </c>
      <c r="H45" t="str">
        <f t="shared" si="11"/>
        <v>0.016337;</v>
      </c>
      <c r="J45" s="5" t="str">
        <f t="shared" si="0"/>
        <v>parameter Types.MolarDensity_M S_gas_co2_start = 0.016337;</v>
      </c>
      <c r="L45" t="str">
        <f>SUBSTITUTE(_xlfn.CONCAT(F45," ",G45," ",H45),";",",")</f>
        <v>S_gas_co2_start = 0.016337,</v>
      </c>
    </row>
    <row r="46" spans="1:20" ht="15" thickBot="1" x14ac:dyDescent="0.35">
      <c r="A46" s="3" t="s">
        <v>62</v>
      </c>
      <c r="B46" s="2" t="str">
        <f t="shared" si="15"/>
        <v>1.81043e-06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1"/>
        <v>1.81043e-06;</v>
      </c>
      <c r="J46" s="5" t="str">
        <f t="shared" si="0"/>
        <v>parameter Types.MolarDensity_M S_gas_nh3_start = 1.81043e-06;</v>
      </c>
      <c r="L46" t="str">
        <f>SUBSTITUTE(_xlfn.CONCAT(F46," ",G46," ",H46),";",",")</f>
        <v>S_gas_nh3_start = 1.81043e-06,</v>
      </c>
    </row>
    <row r="47" spans="1:20" ht="15" thickBot="1" x14ac:dyDescent="0.35">
      <c r="A47" s="10">
        <v>1.8871700000000002E-2</v>
      </c>
      <c r="J47" s="5" t="str">
        <f t="shared" si="0"/>
        <v xml:space="preserve">    </v>
      </c>
    </row>
    <row r="48" spans="1:20" x14ac:dyDescent="0.3">
      <c r="B48" s="2" t="str">
        <f>A42</f>
        <v>1.50977e-11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1"/>
        <v>1.50977e-11;</v>
      </c>
      <c r="J48" s="5" t="str">
        <f t="shared" si="0"/>
        <v>parameter Types.MolarDensity_M X_acp_start = 1.50977e-11;</v>
      </c>
      <c r="L48" t="str">
        <f>SUBSTITUTE(_xlfn.CONCAT(F48," ",G48," ",H48),";",",")</f>
        <v>X_acp_start = 1.50977e-11,</v>
      </c>
    </row>
    <row r="49" spans="2:12" x14ac:dyDescent="0.3">
      <c r="B49" s="2" t="str">
        <f t="shared" ref="B49:B51" si="16">A43</f>
        <v>0.0100953</v>
      </c>
      <c r="D49" t="s">
        <v>1</v>
      </c>
      <c r="E49" t="s">
        <v>36</v>
      </c>
      <c r="F49" t="s">
        <v>54</v>
      </c>
      <c r="G49" t="s">
        <v>4</v>
      </c>
      <c r="H49" t="str">
        <f t="shared" si="11"/>
        <v>0.0100953;</v>
      </c>
      <c r="J49" s="5" t="str">
        <f t="shared" si="0"/>
        <v>parameter Types.MolarDensity_M X_stru_start = 0.0100953;</v>
      </c>
      <c r="L49" t="str">
        <f>SUBSTITUTE(_xlfn.CONCAT(F49," ",G49," ",H49),";",",")</f>
        <v>X_stru_start = 0.0100953,</v>
      </c>
    </row>
    <row r="50" spans="2:12" x14ac:dyDescent="0.3">
      <c r="B50" s="2" t="str">
        <f t="shared" si="16"/>
        <v>0.00537178</v>
      </c>
      <c r="D50" t="s">
        <v>1</v>
      </c>
      <c r="E50" t="s">
        <v>36</v>
      </c>
      <c r="F50" t="s">
        <v>55</v>
      </c>
      <c r="G50" t="s">
        <v>4</v>
      </c>
      <c r="H50" t="str">
        <f t="shared" si="11"/>
        <v>0.00537178;</v>
      </c>
      <c r="J50" s="5" t="str">
        <f t="shared" si="0"/>
        <v>parameter Types.MolarDensity_M X_ccm_start = 0.00537178;</v>
      </c>
      <c r="L50" t="str">
        <f>SUBSTITUTE(_xlfn.CONCAT(F50," ",G50," ",H50),";",",")</f>
        <v>X_ccm_start = 0.00537178,</v>
      </c>
    </row>
    <row r="51" spans="2:12" ht="15" thickBot="1" x14ac:dyDescent="0.35">
      <c r="B51" s="2" t="str">
        <f t="shared" si="16"/>
        <v>2.76859e-9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1"/>
        <v>2.76859e-9;</v>
      </c>
      <c r="J51" s="6" t="str">
        <f t="shared" si="0"/>
        <v>parameter Types.MolarDensity_M X_mag_start = 2.76859e-9;</v>
      </c>
      <c r="L51" t="str">
        <f>SUBSTITUTE(_xlfn.CONCAT(F51," ",G51," ",H51),";","")</f>
        <v>X_mag_start = 2.76859e-9</v>
      </c>
    </row>
    <row r="53" spans="2:12" ht="15.6" x14ac:dyDescent="0.3">
      <c r="L53" s="1" t="str">
        <f>_xlfn.CONCAT("xi_start ="," ",A47,",")</f>
        <v>xi_start = 0.0188717,</v>
      </c>
    </row>
    <row r="56" spans="2:12" x14ac:dyDescent="0.3">
      <c r="B56" s="2"/>
    </row>
    <row r="57" spans="2:12" x14ac:dyDescent="0.3">
      <c r="B57" s="2"/>
    </row>
    <row r="58" spans="2:12" x14ac:dyDescent="0.3">
      <c r="B58" s="2"/>
    </row>
    <row r="59" spans="2:12" x14ac:dyDescent="0.3">
      <c r="B59" s="2"/>
    </row>
    <row r="60" spans="2:12" x14ac:dyDescent="0.3">
      <c r="B60" s="2"/>
    </row>
    <row r="61" spans="2:12" x14ac:dyDescent="0.3">
      <c r="B61" s="2"/>
    </row>
    <row r="62" spans="2:12" x14ac:dyDescent="0.3">
      <c r="B62" s="2"/>
    </row>
    <row r="63" spans="2:12" x14ac:dyDescent="0.3">
      <c r="B63" s="2"/>
    </row>
    <row r="64" spans="2:12" x14ac:dyDescent="0.3">
      <c r="B64" s="2"/>
      <c r="C64" t="s">
        <v>235</v>
      </c>
    </row>
    <row r="65" spans="2:3" x14ac:dyDescent="0.3">
      <c r="B65" s="2"/>
    </row>
    <row r="66" spans="2:3" x14ac:dyDescent="0.3">
      <c r="C66" s="2"/>
    </row>
    <row r="67" spans="2:3" x14ac:dyDescent="0.3">
      <c r="C67" s="2"/>
    </row>
    <row r="68" spans="2:3" x14ac:dyDescent="0.3">
      <c r="C68" s="2"/>
    </row>
    <row r="69" spans="2:3" x14ac:dyDescent="0.3">
      <c r="C69" s="2"/>
    </row>
    <row r="70" spans="2:3" x14ac:dyDescent="0.3">
      <c r="C70" s="2"/>
    </row>
    <row r="71" spans="2:3" x14ac:dyDescent="0.3">
      <c r="C71" s="2"/>
    </row>
    <row r="72" spans="2:3" x14ac:dyDescent="0.3">
      <c r="C72" s="2"/>
    </row>
    <row r="73" spans="2:3" x14ac:dyDescent="0.3">
      <c r="C73" s="2"/>
    </row>
    <row r="74" spans="2:3" x14ac:dyDescent="0.3">
      <c r="C74" s="2"/>
    </row>
    <row r="75" spans="2:3" x14ac:dyDescent="0.3">
      <c r="C75" s="2"/>
    </row>
    <row r="76" spans="2:3" x14ac:dyDescent="0.3">
      <c r="C76" s="2"/>
    </row>
    <row r="77" spans="2:3" x14ac:dyDescent="0.3">
      <c r="C77" s="2"/>
    </row>
    <row r="78" spans="2:3" x14ac:dyDescent="0.3">
      <c r="C78" s="2"/>
    </row>
    <row r="79" spans="2:3" x14ac:dyDescent="0.3">
      <c r="C79" s="2"/>
    </row>
    <row r="80" spans="2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48F0-8661-42E1-9555-6172A271B58B}">
  <dimension ref="A1:W98"/>
  <sheetViews>
    <sheetView topLeftCell="J19" zoomScale="80" zoomScaleNormal="80" workbookViewId="0">
      <selection activeCell="W3" sqref="W3:W52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  <col min="20" max="20" width="51.21875" bestFit="1" customWidth="1"/>
  </cols>
  <sheetData>
    <row r="1" spans="1:23" ht="15" thickBot="1" x14ac:dyDescent="0.35">
      <c r="A1" s="3" t="s">
        <v>57</v>
      </c>
      <c r="B1" s="3" t="s">
        <v>58</v>
      </c>
      <c r="C1" s="3"/>
      <c r="D1" s="16" t="s">
        <v>417</v>
      </c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3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3" x14ac:dyDescent="0.3">
      <c r="A3" s="7" t="s">
        <v>423</v>
      </c>
      <c r="B3" s="2" t="str">
        <f>A3</f>
        <v>1.77084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1.77084;</v>
      </c>
      <c r="I3" t="str">
        <f>SUBSTITUTE(H3,";",",")</f>
        <v>1.77084,</v>
      </c>
      <c r="J3" s="5" t="str">
        <f t="shared" ref="J3:J51" si="0">_xlfn.CONCAT(D3," ",E3," ",F3," ",G3," ",H3,)</f>
        <v>parameter SI.MassConcentration X_su_start = 1.77084;</v>
      </c>
      <c r="L3" t="str">
        <f t="shared" ref="L3:L9" si="1">SUBSTITUTE(_xlfn.CONCAT(F3," ",G3," ",H3),";",",")</f>
        <v>X_su_start = 1.77084,</v>
      </c>
      <c r="P3" s="4" t="str">
        <f>L3</f>
        <v>X_su_start = 1.77084,</v>
      </c>
      <c r="R3" s="12" t="str">
        <f>_xlfn.CONCAT("digester.",P3)</f>
        <v>digester.X_su_start = 1.77084,</v>
      </c>
      <c r="T3" t="str">
        <f>_xlfn.CONCAT("uit.",R3)</f>
        <v>uit.digester.X_su_start = 1.77084,</v>
      </c>
      <c r="V3" t="s">
        <v>370</v>
      </c>
      <c r="W3" t="str">
        <f>_xlfn.CONCAT(V3,"=",A3,",")</f>
        <v>xsu=1.77084,</v>
      </c>
    </row>
    <row r="4" spans="1:23" x14ac:dyDescent="0.3">
      <c r="A4" s="8" t="s">
        <v>424</v>
      </c>
      <c r="B4" s="2" t="str">
        <f t="shared" ref="B4:B9" si="2">A4</f>
        <v>0.384142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0.384142;</v>
      </c>
      <c r="I4" t="str">
        <f t="shared" ref="I4:I51" si="4">SUBSTITUTE(H4,";",",")</f>
        <v>0.384142,</v>
      </c>
      <c r="J4" s="5" t="str">
        <f t="shared" si="0"/>
        <v>parameter SI.MassConcentration X_aa_start = 0.384142;</v>
      </c>
      <c r="L4" t="str">
        <f t="shared" si="1"/>
        <v>X_aa_start = 0.384142,</v>
      </c>
      <c r="P4" s="5" t="str">
        <f t="shared" ref="P4:P9" si="5">L4</f>
        <v>X_aa_start = 0.384142,</v>
      </c>
      <c r="R4" s="13" t="str">
        <f t="shared" ref="R4:R42" si="6">_xlfn.CONCAT("digester.",P4)</f>
        <v>digester.X_aa_start = 0.384142,</v>
      </c>
      <c r="T4" t="str">
        <f t="shared" ref="T4:T44" si="7">_xlfn.CONCAT("uit.",R4)</f>
        <v>uit.digester.X_aa_start = 0.384142,</v>
      </c>
      <c r="V4" t="s">
        <v>341</v>
      </c>
      <c r="W4" t="str">
        <f t="shared" ref="W4:W41" si="8">_xlfn.CONCAT(V4,"=",A4,",")</f>
        <v>xaa=0.384142,</v>
      </c>
    </row>
    <row r="5" spans="1:23" x14ac:dyDescent="0.3">
      <c r="A5" s="8" t="s">
        <v>425</v>
      </c>
      <c r="B5" s="2" t="str">
        <f t="shared" si="2"/>
        <v>0.249665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0.249665;</v>
      </c>
      <c r="I5" t="str">
        <f t="shared" si="4"/>
        <v>0.249665,</v>
      </c>
      <c r="J5" s="5" t="str">
        <f t="shared" si="0"/>
        <v>parameter SI.MassConcentration X_fa_start = 0.249665;</v>
      </c>
      <c r="L5" t="str">
        <f t="shared" si="1"/>
        <v>X_fa_start = 0.249665,</v>
      </c>
      <c r="P5" s="5" t="str">
        <f t="shared" si="5"/>
        <v>X_fa_start = 0.249665,</v>
      </c>
      <c r="R5" s="13" t="str">
        <f t="shared" si="6"/>
        <v>digester.X_fa_start = 0.249665,</v>
      </c>
      <c r="T5" t="str">
        <f t="shared" si="7"/>
        <v>uit.digester.X_fa_start = 0.249665,</v>
      </c>
      <c r="V5" t="s">
        <v>356</v>
      </c>
      <c r="W5" t="str">
        <f t="shared" si="8"/>
        <v>xfa=0.249665,</v>
      </c>
    </row>
    <row r="6" spans="1:23" x14ac:dyDescent="0.3">
      <c r="A6" s="8" t="s">
        <v>426</v>
      </c>
      <c r="B6" s="2" t="str">
        <f t="shared" si="2"/>
        <v>0.346494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0.346494;</v>
      </c>
      <c r="I6" t="str">
        <f t="shared" si="4"/>
        <v>0.346494,</v>
      </c>
      <c r="J6" s="5" t="str">
        <f t="shared" si="0"/>
        <v>parameter SI.MassConcentration X_c4_start = 0.346494;</v>
      </c>
      <c r="L6" t="str">
        <f t="shared" si="1"/>
        <v>X_c4_start = 0.346494,</v>
      </c>
      <c r="P6" s="5" t="str">
        <f t="shared" si="5"/>
        <v>X_c4_start = 0.346494,</v>
      </c>
      <c r="R6" s="13" t="str">
        <f t="shared" si="6"/>
        <v>digester.X_c4_start = 0.346494,</v>
      </c>
      <c r="T6" t="str">
        <f t="shared" si="7"/>
        <v>uit.digester.X_c4_start = 0.346494,</v>
      </c>
      <c r="V6" t="s">
        <v>351</v>
      </c>
      <c r="W6" t="str">
        <f t="shared" si="8"/>
        <v>xc4=0.346494,</v>
      </c>
    </row>
    <row r="7" spans="1:23" x14ac:dyDescent="0.3">
      <c r="A7" s="8" t="s">
        <v>427</v>
      </c>
      <c r="B7" s="2" t="str">
        <f t="shared" si="2"/>
        <v>0.245104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0.245104;</v>
      </c>
      <c r="I7" t="str">
        <f t="shared" si="4"/>
        <v>0.245104,</v>
      </c>
      <c r="J7" s="5" t="str">
        <f t="shared" si="0"/>
        <v>parameter SI.MassConcentration X_pro_start = 0.245104;</v>
      </c>
      <c r="L7" t="str">
        <f t="shared" si="1"/>
        <v>X_pro_start = 0.245104,</v>
      </c>
      <c r="P7" s="5" t="str">
        <f t="shared" si="5"/>
        <v>X_pro_start = 0.245104,</v>
      </c>
      <c r="R7" s="13" t="str">
        <f t="shared" si="6"/>
        <v>digester.X_pro_start = 0.245104,</v>
      </c>
      <c r="T7" t="str">
        <f t="shared" si="7"/>
        <v>uit.digester.X_pro_start = 0.245104,</v>
      </c>
      <c r="V7" t="s">
        <v>368</v>
      </c>
      <c r="W7" t="str">
        <f t="shared" si="8"/>
        <v>xpro=0.245104,</v>
      </c>
    </row>
    <row r="8" spans="1:23" x14ac:dyDescent="0.3">
      <c r="A8" s="8" t="s">
        <v>428</v>
      </c>
      <c r="B8" s="2" t="str">
        <f t="shared" si="2"/>
        <v>0.914162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0.914162;</v>
      </c>
      <c r="I8" t="str">
        <f t="shared" si="4"/>
        <v>0.914162,</v>
      </c>
      <c r="J8" s="5" t="str">
        <f t="shared" si="0"/>
        <v>parameter SI.MassConcentration X_ac_start = 0.914162;</v>
      </c>
      <c r="L8" t="str">
        <f t="shared" si="1"/>
        <v>X_ac_start = 0.914162,</v>
      </c>
      <c r="P8" s="5" t="str">
        <f t="shared" si="5"/>
        <v>X_ac_start = 0.914162,</v>
      </c>
      <c r="R8" s="13" t="str">
        <f t="shared" si="6"/>
        <v>digester.X_ac_start = 0.914162,</v>
      </c>
      <c r="T8" t="str">
        <f t="shared" si="7"/>
        <v>uit.digester.X_ac_start = 0.914162,</v>
      </c>
      <c r="V8" t="s">
        <v>342</v>
      </c>
      <c r="W8" t="str">
        <f t="shared" si="8"/>
        <v>xac=0.914162,</v>
      </c>
    </row>
    <row r="9" spans="1:23" x14ac:dyDescent="0.3">
      <c r="A9" s="8" t="s">
        <v>429</v>
      </c>
      <c r="B9" s="2" t="str">
        <f t="shared" si="2"/>
        <v>0.458658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0.458658;</v>
      </c>
      <c r="I9" t="str">
        <f t="shared" si="4"/>
        <v>0.458658,</v>
      </c>
      <c r="J9" s="5" t="str">
        <f t="shared" si="0"/>
        <v>parameter SI.MassConcentration X_h2_start = 0.458658;</v>
      </c>
      <c r="L9" t="str">
        <f t="shared" si="1"/>
        <v>X_h2_start = 0.458658,</v>
      </c>
      <c r="P9" s="5" t="str">
        <f t="shared" si="5"/>
        <v>X_h2_start = 0.458658,</v>
      </c>
      <c r="R9" s="13" t="str">
        <f t="shared" si="6"/>
        <v>digester.X_h2_start = 0.458658,</v>
      </c>
      <c r="T9" t="str">
        <f t="shared" si="7"/>
        <v>uit.digester.X_h2_start = 0.458658,</v>
      </c>
      <c r="V9" t="s">
        <v>357</v>
      </c>
      <c r="W9" t="str">
        <f t="shared" si="8"/>
        <v>xh2=0.458658,</v>
      </c>
    </row>
    <row r="10" spans="1:23" x14ac:dyDescent="0.3">
      <c r="A10" s="8" t="s">
        <v>430</v>
      </c>
      <c r="B10" s="2"/>
      <c r="D10" t="s">
        <v>11</v>
      </c>
      <c r="E10" t="s">
        <v>12</v>
      </c>
      <c r="I10" t="str">
        <f t="shared" si="4"/>
        <v/>
      </c>
      <c r="J10" s="5" t="str">
        <f t="shared" si="0"/>
        <v xml:space="preserve">//Particulate substrate   </v>
      </c>
      <c r="P10" s="5" t="str">
        <f t="shared" ref="P10:P15" si="9">L11</f>
        <v>X_c_start = 9.99996e-11,</v>
      </c>
      <c r="R10" s="13" t="str">
        <f t="shared" si="6"/>
        <v>digester.X_c_start = 9.99996e-11,</v>
      </c>
      <c r="T10" t="str">
        <f t="shared" si="7"/>
        <v>uit.digester.X_c_start = 9.99996e-11,</v>
      </c>
      <c r="V10" t="s">
        <v>350</v>
      </c>
      <c r="W10" t="str">
        <f t="shared" si="8"/>
        <v>xc=9.99996e-11,</v>
      </c>
    </row>
    <row r="11" spans="1:23" x14ac:dyDescent="0.3">
      <c r="A11" s="8" t="s">
        <v>431</v>
      </c>
      <c r="B11" s="2" t="str">
        <f>A10</f>
        <v>9.99996e-11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9.99996e-11;</v>
      </c>
      <c r="I11" t="str">
        <f t="shared" si="4"/>
        <v>9.99996e-11,</v>
      </c>
      <c r="J11" s="5" t="str">
        <f t="shared" si="0"/>
        <v>parameter SI.MassConcentration X_c_start = 9.99996e-11;</v>
      </c>
      <c r="L11" t="str">
        <f>SUBSTITUTE(_xlfn.CONCAT(F11," ",G11," ",H11),";",",")</f>
        <v>X_c_start = 9.99996e-11,</v>
      </c>
      <c r="P11" s="5" t="str">
        <f t="shared" si="9"/>
        <v>X_i_start = 25.4897,</v>
      </c>
      <c r="R11" s="13" t="str">
        <f t="shared" si="6"/>
        <v>digester.X_i_start = 25.4897,</v>
      </c>
      <c r="T11" t="str">
        <f t="shared" si="7"/>
        <v>uit.digester.X_i_start = 25.4897,</v>
      </c>
      <c r="V11" t="s">
        <v>361</v>
      </c>
      <c r="W11" t="str">
        <f t="shared" si="8"/>
        <v>xi=25.4897,</v>
      </c>
    </row>
    <row r="12" spans="1:23" x14ac:dyDescent="0.3">
      <c r="A12" s="8" t="s">
        <v>418</v>
      </c>
      <c r="B12" s="2" t="str">
        <f t="shared" ref="B12:B27" si="10">A11</f>
        <v>25.4897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25.4897;</v>
      </c>
      <c r="I12" t="str">
        <f t="shared" si="4"/>
        <v>25.4897,</v>
      </c>
      <c r="J12" s="5" t="str">
        <f t="shared" si="0"/>
        <v>parameter SI.MassConcentration X_i_start = 25.4897;</v>
      </c>
      <c r="L12" t="str">
        <f>SUBSTITUTE(_xlfn.CONCAT(F12," ",G12," ",H12),";",",")</f>
        <v>X_i_start = 25.4897,</v>
      </c>
      <c r="P12" s="5" t="str">
        <f t="shared" si="9"/>
        <v>X_ch_start = {0.706574,0.704505,3.67843},</v>
      </c>
      <c r="R12" s="13" t="str">
        <f t="shared" si="6"/>
        <v>digester.X_ch_start = {0.706574,0.704505,3.67843},</v>
      </c>
      <c r="T12" t="str">
        <f t="shared" si="7"/>
        <v>uit.digester.X_ch_start = {0.706574,0.704505,3.67843},</v>
      </c>
      <c r="V12" t="s">
        <v>353</v>
      </c>
      <c r="W12" t="str">
        <f t="shared" si="8"/>
        <v>xchr=0.706574,</v>
      </c>
    </row>
    <row r="13" spans="1:23" x14ac:dyDescent="0.3">
      <c r="A13" s="8" t="s">
        <v>432</v>
      </c>
      <c r="B13" s="2" t="str">
        <f t="shared" si="10"/>
        <v>0.706574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{0.706574,0.704505,3.67843};</v>
      </c>
      <c r="I13" t="str">
        <f t="shared" si="4"/>
        <v>{0.706574,0.704505,3.67843},</v>
      </c>
      <c r="J13" s="5" t="str">
        <f t="shared" si="0"/>
        <v>parameter SI.MassConcentration X_ch_start[3] = {0.706574,0.704505,3.67843};</v>
      </c>
      <c r="L13" t="str">
        <f>SUBSTITUTE(SUBSTITUTE(_xlfn.CONCAT(F13," ",G13," ",H13),";",","),"[3]","")</f>
        <v>X_ch_start = {0.706574,0.704505,3.67843},</v>
      </c>
      <c r="P13" s="5" t="str">
        <f t="shared" si="9"/>
        <v>X_pr_start = {0.170552,0.687459},</v>
      </c>
      <c r="R13" s="13" t="str">
        <f t="shared" si="6"/>
        <v>digester.X_pr_start = {0.170552,0.687459},</v>
      </c>
      <c r="T13" t="str">
        <f t="shared" si="7"/>
        <v>uit.digester.X_pr_start = {0.170552,0.687459},</v>
      </c>
      <c r="V13" t="s">
        <v>354</v>
      </c>
      <c r="W13" t="str">
        <f t="shared" si="8"/>
        <v>xchm=0.704505,</v>
      </c>
    </row>
    <row r="14" spans="1:23" x14ac:dyDescent="0.3">
      <c r="A14" s="8" t="s">
        <v>433</v>
      </c>
      <c r="B14" s="2" t="str">
        <f t="shared" si="10"/>
        <v>0.704505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{0.170552,0.687459};</v>
      </c>
      <c r="I14" t="str">
        <f t="shared" si="4"/>
        <v>{0.170552,0.687459},</v>
      </c>
      <c r="J14" s="5" t="str">
        <f t="shared" si="0"/>
        <v>parameter SI.MassConcentration X_pr_start[2] = {0.170552,0.687459};</v>
      </c>
      <c r="L14" t="str">
        <f>SUBSTITUTE(SUBSTITUTE(_xlfn.CONCAT(F14," ",G14," ",H14),";",","),"[2]","")</f>
        <v>X_pr_start = {0.170552,0.687459},</v>
      </c>
      <c r="P14" s="5" t="str">
        <f t="shared" si="9"/>
        <v>X_li_start = 0.715749,</v>
      </c>
      <c r="R14" s="13" t="str">
        <f t="shared" si="6"/>
        <v>digester.X_li_start = 0.715749,</v>
      </c>
      <c r="T14" t="str">
        <f t="shared" si="7"/>
        <v>uit.digester.X_li_start = 0.715749,</v>
      </c>
      <c r="V14" t="s">
        <v>355</v>
      </c>
      <c r="W14" t="str">
        <f t="shared" si="8"/>
        <v>xchs=3.67843,</v>
      </c>
    </row>
    <row r="15" spans="1:23" x14ac:dyDescent="0.3">
      <c r="A15" s="8" t="s">
        <v>419</v>
      </c>
      <c r="B15" s="2" t="str">
        <f t="shared" si="10"/>
        <v>3.67843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0.715749;</v>
      </c>
      <c r="I15" t="str">
        <f t="shared" si="4"/>
        <v>0.715749,</v>
      </c>
      <c r="J15" s="5" t="str">
        <f t="shared" si="0"/>
        <v>parameter SI.MassConcentration X_li_start = 0.715749;</v>
      </c>
      <c r="L15" t="str">
        <f>SUBSTITUTE(_xlfn.CONCAT(F15," ",G15," ",H15),";",",")</f>
        <v>X_li_start = 0.715749,</v>
      </c>
      <c r="P15" s="5" t="str">
        <f t="shared" si="9"/>
        <v>X_p_start = 0.352447,</v>
      </c>
      <c r="R15" s="13" t="str">
        <f t="shared" si="6"/>
        <v>digester.X_p_start = 0.352447,</v>
      </c>
      <c r="T15" t="str">
        <f t="shared" si="7"/>
        <v>uit.digester.X_p_start = 0.352447,</v>
      </c>
      <c r="V15" t="s">
        <v>366</v>
      </c>
      <c r="W15" t="str">
        <f t="shared" si="8"/>
        <v>xprr=0.170552,</v>
      </c>
    </row>
    <row r="16" spans="1:23" x14ac:dyDescent="0.3">
      <c r="A16" s="8" t="s">
        <v>434</v>
      </c>
      <c r="B16" s="2" t="str">
        <f t="shared" si="10"/>
        <v>0.170552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0.352447;</v>
      </c>
      <c r="I16" t="str">
        <f t="shared" si="4"/>
        <v>0.352447,</v>
      </c>
      <c r="J16" s="5" t="str">
        <f t="shared" si="0"/>
        <v>parameter SI.MassConcentration X_p_start = 0.352447;</v>
      </c>
      <c r="L16" t="str">
        <f>SUBSTITUTE(_xlfn.CONCAT(F16," ",G16," ",H16),";",",")</f>
        <v>X_p_start = 0.352447,</v>
      </c>
      <c r="P16" s="5" t="str">
        <f t="shared" ref="P16:P23" si="11">L20</f>
        <v>S_i_start = 0.0881116,</v>
      </c>
      <c r="R16" s="13" t="str">
        <f t="shared" si="6"/>
        <v>digester.S_i_start = 0.0881116,</v>
      </c>
      <c r="T16" t="str">
        <f t="shared" si="7"/>
        <v>uit.digester.S_i_start = 0.0881116,</v>
      </c>
      <c r="V16" t="s">
        <v>367</v>
      </c>
      <c r="W16" t="str">
        <f t="shared" si="8"/>
        <v>xprs=0.687459,</v>
      </c>
    </row>
    <row r="17" spans="1:23" x14ac:dyDescent="0.3">
      <c r="A17" s="8" t="s">
        <v>435</v>
      </c>
      <c r="B17" s="2" t="str">
        <f t="shared" si="10"/>
        <v>0.687459</v>
      </c>
      <c r="D17" t="s">
        <v>19</v>
      </c>
      <c r="I17" t="str">
        <f t="shared" si="4"/>
        <v/>
      </c>
      <c r="J17" s="5" t="str">
        <f t="shared" si="0"/>
        <v xml:space="preserve">//    </v>
      </c>
      <c r="P17" s="5" t="str">
        <f t="shared" si="11"/>
        <v>S_su_start = 0.0109249,</v>
      </c>
      <c r="R17" s="13" t="str">
        <f t="shared" si="6"/>
        <v>digester.S_su_start = 0.0109249,</v>
      </c>
      <c r="T17" t="str">
        <f t="shared" si="7"/>
        <v>uit.digester.S_su_start = 0.0109249,</v>
      </c>
      <c r="V17" t="s">
        <v>362</v>
      </c>
      <c r="W17" t="str">
        <f t="shared" si="8"/>
        <v>xli=0.715749,</v>
      </c>
    </row>
    <row r="18" spans="1:23" x14ac:dyDescent="0.3">
      <c r="A18" s="8" t="s">
        <v>436</v>
      </c>
      <c r="B18" s="2" t="str">
        <f t="shared" si="10"/>
        <v>0.715749</v>
      </c>
      <c r="D18" t="s">
        <v>19</v>
      </c>
      <c r="I18" t="str">
        <f t="shared" si="4"/>
        <v/>
      </c>
      <c r="J18" s="5" t="str">
        <f t="shared" si="0"/>
        <v xml:space="preserve">//    </v>
      </c>
      <c r="P18" s="5" t="str">
        <f t="shared" si="11"/>
        <v>S_aa_start = 0.00482104,</v>
      </c>
      <c r="R18" s="13" t="str">
        <f t="shared" si="6"/>
        <v>digester.S_aa_start = 0.00482104,</v>
      </c>
      <c r="T18" t="str">
        <f t="shared" si="7"/>
        <v>uit.digester.S_aa_start = 0.00482104,</v>
      </c>
      <c r="V18" t="s">
        <v>365</v>
      </c>
      <c r="W18" t="str">
        <f t="shared" si="8"/>
        <v>xp=0.352447,</v>
      </c>
    </row>
    <row r="19" spans="1:23" x14ac:dyDescent="0.3">
      <c r="A19" s="8" t="s">
        <v>437</v>
      </c>
      <c r="B19" s="2" t="str">
        <f t="shared" si="10"/>
        <v>0.352447</v>
      </c>
      <c r="D19" t="s">
        <v>20</v>
      </c>
      <c r="E19" t="s">
        <v>12</v>
      </c>
      <c r="I19" t="str">
        <f t="shared" si="4"/>
        <v/>
      </c>
      <c r="J19" s="5" t="str">
        <f t="shared" si="0"/>
        <v xml:space="preserve">//Soluble substrate   </v>
      </c>
      <c r="P19" s="5" t="str">
        <f t="shared" si="11"/>
        <v>S_fa_start = 0.0560122,</v>
      </c>
      <c r="R19" s="13" t="str">
        <f t="shared" si="6"/>
        <v>digester.S_fa_start = 0.0560122,</v>
      </c>
      <c r="T19" t="str">
        <f t="shared" si="7"/>
        <v>uit.digester.S_fa_start = 0.0560122,</v>
      </c>
      <c r="V19" t="s">
        <v>333</v>
      </c>
      <c r="W19" t="str">
        <f t="shared" si="8"/>
        <v>si=0.0881116,</v>
      </c>
    </row>
    <row r="20" spans="1:23" x14ac:dyDescent="0.3">
      <c r="A20" s="8" t="s">
        <v>438</v>
      </c>
      <c r="B20" s="2" t="str">
        <f t="shared" si="10"/>
        <v>0.0881116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0.0881116;</v>
      </c>
      <c r="I20" t="str">
        <f t="shared" si="4"/>
        <v>0.0881116,</v>
      </c>
      <c r="J20" s="5" t="str">
        <f t="shared" si="0"/>
        <v>parameter SI.MassConcentration S_i_start = 0.0881116;</v>
      </c>
      <c r="L20" t="str">
        <f t="shared" ref="L20:L27" si="12">SUBSTITUTE(_xlfn.CONCAT(F20," ",G20," ",H20),";",",")</f>
        <v>S_i_start = 0.0881116,</v>
      </c>
      <c r="P20" s="5" t="str">
        <f t="shared" si="11"/>
        <v>S_va_start = 0.0065994,</v>
      </c>
      <c r="R20" s="13" t="str">
        <f t="shared" si="6"/>
        <v>digester.S_va_start = 0.0065994,</v>
      </c>
      <c r="T20" t="str">
        <f t="shared" si="7"/>
        <v>uit.digester.S_va_start = 0.0065994,</v>
      </c>
      <c r="V20" t="s">
        <v>447</v>
      </c>
      <c r="W20" t="str">
        <f t="shared" si="8"/>
        <v>ssu=0.0109249,</v>
      </c>
    </row>
    <row r="21" spans="1:23" x14ac:dyDescent="0.3">
      <c r="A21" s="8" t="s">
        <v>420</v>
      </c>
      <c r="B21" s="2" t="str">
        <f t="shared" si="10"/>
        <v>0.0109249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3">_xlfn.CONCAT(B21,";")</f>
        <v>0.0109249;</v>
      </c>
      <c r="I21" t="str">
        <f t="shared" si="4"/>
        <v>0.0109249,</v>
      </c>
      <c r="J21" s="5" t="str">
        <f t="shared" si="0"/>
        <v>parameter SI.MassConcentration S_su_start = 0.0109249;</v>
      </c>
      <c r="L21" t="str">
        <f t="shared" si="12"/>
        <v>S_su_start = 0.0109249,</v>
      </c>
      <c r="P21" s="5" t="str">
        <f t="shared" si="11"/>
        <v>S_bu_start = 0.0113863,</v>
      </c>
      <c r="R21" s="13" t="str">
        <f t="shared" si="6"/>
        <v>digester.S_bu_start = 0.0113863,</v>
      </c>
      <c r="T21" t="str">
        <f t="shared" si="7"/>
        <v>uit.digester.S_bu_start = 0.0113863,</v>
      </c>
      <c r="V21" t="s">
        <v>448</v>
      </c>
      <c r="W21" t="str">
        <f t="shared" si="8"/>
        <v>saa=0.00482104,</v>
      </c>
    </row>
    <row r="22" spans="1:23" x14ac:dyDescent="0.3">
      <c r="A22" s="8" t="s">
        <v>439</v>
      </c>
      <c r="B22" s="2" t="str">
        <f t="shared" si="10"/>
        <v>0.00482104</v>
      </c>
      <c r="D22" t="s">
        <v>1</v>
      </c>
      <c r="E22" t="s">
        <v>2</v>
      </c>
      <c r="F22" t="s">
        <v>23</v>
      </c>
      <c r="G22" t="s">
        <v>4</v>
      </c>
      <c r="H22" t="str">
        <f t="shared" si="13"/>
        <v>0.00482104;</v>
      </c>
      <c r="I22" t="str">
        <f t="shared" si="4"/>
        <v>0.00482104,</v>
      </c>
      <c r="J22" s="5" t="str">
        <f t="shared" si="0"/>
        <v>parameter SI.MassConcentration S_aa_start = 0.00482104;</v>
      </c>
      <c r="L22" t="str">
        <f t="shared" si="12"/>
        <v>S_aa_start = 0.00482104,</v>
      </c>
      <c r="P22" s="5" t="str">
        <f t="shared" si="11"/>
        <v>S_pro_start = 0.0571026,</v>
      </c>
      <c r="R22" s="13" t="str">
        <f t="shared" si="6"/>
        <v>digester.S_pro_start = 0.0571026,</v>
      </c>
      <c r="T22" t="str">
        <f t="shared" si="7"/>
        <v>uit.digester.S_pro_start = 0.0571026,</v>
      </c>
      <c r="V22" t="s">
        <v>449</v>
      </c>
      <c r="W22" t="str">
        <f t="shared" si="8"/>
        <v>sfa=0.0560122,</v>
      </c>
    </row>
    <row r="23" spans="1:23" x14ac:dyDescent="0.3">
      <c r="A23" s="8" t="s">
        <v>440</v>
      </c>
      <c r="B23" s="2" t="str">
        <f t="shared" si="10"/>
        <v>0.0560122</v>
      </c>
      <c r="D23" t="s">
        <v>1</v>
      </c>
      <c r="E23" t="s">
        <v>2</v>
      </c>
      <c r="F23" t="s">
        <v>24</v>
      </c>
      <c r="G23" t="s">
        <v>4</v>
      </c>
      <c r="H23" t="str">
        <f t="shared" si="13"/>
        <v>0.0560122;</v>
      </c>
      <c r="I23" t="str">
        <f t="shared" si="4"/>
        <v>0.0560122,</v>
      </c>
      <c r="J23" s="5" t="str">
        <f t="shared" si="0"/>
        <v>parameter SI.MassConcentration S_fa_start = 0.0560122;</v>
      </c>
      <c r="L23" t="str">
        <f t="shared" si="12"/>
        <v>S_fa_start = 0.0560122,</v>
      </c>
      <c r="P23" s="5" t="str">
        <f t="shared" si="11"/>
        <v>S_ac_start = 0.597495,</v>
      </c>
      <c r="R23" s="13" t="str">
        <f t="shared" si="6"/>
        <v>digester.S_ac_start = 0.597495,</v>
      </c>
      <c r="T23" t="str">
        <f t="shared" si="7"/>
        <v>uit.digester.S_ac_start = 0.597495,</v>
      </c>
      <c r="V23" t="s">
        <v>450</v>
      </c>
      <c r="W23" t="str">
        <f t="shared" si="8"/>
        <v>sva=0.0065994,</v>
      </c>
    </row>
    <row r="24" spans="1:23" x14ac:dyDescent="0.3">
      <c r="A24" s="8" t="s">
        <v>421</v>
      </c>
      <c r="B24" s="2" t="str">
        <f t="shared" si="10"/>
        <v>0.0065994</v>
      </c>
      <c r="D24" t="s">
        <v>1</v>
      </c>
      <c r="E24" t="s">
        <v>2</v>
      </c>
      <c r="F24" t="s">
        <v>25</v>
      </c>
      <c r="G24" t="s">
        <v>4</v>
      </c>
      <c r="H24" t="str">
        <f t="shared" si="13"/>
        <v>0.0065994;</v>
      </c>
      <c r="I24" t="str">
        <f t="shared" si="4"/>
        <v>0.0065994,</v>
      </c>
      <c r="J24" s="5" t="str">
        <f t="shared" si="0"/>
        <v>parameter SI.MassConcentration S_va_start = 0.0065994;</v>
      </c>
      <c r="L24" t="str">
        <f t="shared" si="12"/>
        <v>S_va_start = 0.0065994,</v>
      </c>
      <c r="P24" s="5" t="str">
        <f>L29</f>
        <v>S_h2_start = 7.48637e-07,</v>
      </c>
      <c r="R24" s="13" t="str">
        <f t="shared" si="6"/>
        <v>digester.S_h2_start = 7.48637e-07,</v>
      </c>
      <c r="T24" t="str">
        <f t="shared" si="7"/>
        <v>uit.digester.S_h2_start = 7.48637e-07,</v>
      </c>
      <c r="V24" t="s">
        <v>451</v>
      </c>
      <c r="W24" t="str">
        <f t="shared" si="8"/>
        <v>sbu=0.0113863,</v>
      </c>
    </row>
    <row r="25" spans="1:23" x14ac:dyDescent="0.3">
      <c r="A25" s="8" t="s">
        <v>441</v>
      </c>
      <c r="B25" s="2" t="str">
        <f t="shared" si="10"/>
        <v>0.0113863</v>
      </c>
      <c r="D25" t="s">
        <v>1</v>
      </c>
      <c r="E25" t="s">
        <v>2</v>
      </c>
      <c r="F25" t="s">
        <v>26</v>
      </c>
      <c r="G25" t="s">
        <v>4</v>
      </c>
      <c r="H25" t="str">
        <f t="shared" si="13"/>
        <v>0.0113863;</v>
      </c>
      <c r="I25" t="str">
        <f t="shared" si="4"/>
        <v>0.0113863,</v>
      </c>
      <c r="J25" s="5" t="str">
        <f t="shared" si="0"/>
        <v>parameter SI.MassConcentration S_bu_start = 0.0113863;</v>
      </c>
      <c r="L25" t="str">
        <f t="shared" si="12"/>
        <v>S_bu_start = 0.0113863,</v>
      </c>
      <c r="P25" s="5" t="str">
        <f>L30</f>
        <v>S_ch4_start = 0.240558,</v>
      </c>
      <c r="R25" s="13" t="str">
        <f t="shared" si="6"/>
        <v>digester.S_ch4_start = 0.240558,</v>
      </c>
      <c r="T25" t="str">
        <f t="shared" si="7"/>
        <v>uit.digester.S_ch4_start = 0.240558,</v>
      </c>
      <c r="V25" t="s">
        <v>452</v>
      </c>
      <c r="W25" t="str">
        <f t="shared" si="8"/>
        <v>spro=0.0571026,</v>
      </c>
    </row>
    <row r="26" spans="1:23" x14ac:dyDescent="0.3">
      <c r="A26" s="8" t="s">
        <v>442</v>
      </c>
      <c r="B26" s="2" t="str">
        <f t="shared" si="10"/>
        <v>0.0571026</v>
      </c>
      <c r="D26" t="s">
        <v>1</v>
      </c>
      <c r="E26" t="s">
        <v>2</v>
      </c>
      <c r="F26" t="s">
        <v>27</v>
      </c>
      <c r="G26" t="s">
        <v>4</v>
      </c>
      <c r="H26" t="str">
        <f t="shared" si="13"/>
        <v>0.0571026;</v>
      </c>
      <c r="I26" t="str">
        <f t="shared" si="4"/>
        <v>0.0571026,</v>
      </c>
      <c r="J26" s="5" t="str">
        <f t="shared" si="0"/>
        <v>parameter SI.MassConcentration S_pro_start = 0.0571026;</v>
      </c>
      <c r="L26" t="str">
        <f t="shared" si="12"/>
        <v>S_pro_start = 0.0571026,</v>
      </c>
      <c r="P26" s="5" t="str">
        <f t="shared" ref="P26:P34" si="14">L32</f>
        <v>S_ic_start = 0.172785,</v>
      </c>
      <c r="R26" s="13" t="str">
        <f t="shared" si="6"/>
        <v>digester.S_ic_start = 0.172785,</v>
      </c>
      <c r="T26" t="str">
        <f t="shared" si="7"/>
        <v>uit.digester.S_ic_start = 0.172785,</v>
      </c>
      <c r="V26" t="s">
        <v>453</v>
      </c>
      <c r="W26" t="str">
        <f t="shared" si="8"/>
        <v>sac=0.597495,</v>
      </c>
    </row>
    <row r="27" spans="1:23" x14ac:dyDescent="0.3">
      <c r="A27" s="8" t="s">
        <v>443</v>
      </c>
      <c r="B27" s="2" t="str">
        <f t="shared" si="10"/>
        <v>0.597495</v>
      </c>
      <c r="D27" t="s">
        <v>1</v>
      </c>
      <c r="E27" t="s">
        <v>2</v>
      </c>
      <c r="F27" t="s">
        <v>28</v>
      </c>
      <c r="G27" t="s">
        <v>4</v>
      </c>
      <c r="H27" t="str">
        <f t="shared" si="13"/>
        <v>0.597495;</v>
      </c>
      <c r="I27" t="str">
        <f t="shared" si="4"/>
        <v>0.597495,</v>
      </c>
      <c r="J27" s="5" t="str">
        <f t="shared" si="0"/>
        <v>parameter SI.MassConcentration S_ac_start = 0.597495;</v>
      </c>
      <c r="L27" t="str">
        <f t="shared" si="12"/>
        <v>S_ac_start = 0.597495,</v>
      </c>
      <c r="P27" s="5" t="str">
        <f t="shared" si="14"/>
        <v>S_in_start = 0.079937,</v>
      </c>
      <c r="R27" s="13" t="str">
        <f t="shared" si="6"/>
        <v>digester.S_in_start = 0.079937,</v>
      </c>
      <c r="T27" t="str">
        <f t="shared" si="7"/>
        <v>uit.digester.S_in_start = 0.079937,</v>
      </c>
      <c r="V27" t="s">
        <v>454</v>
      </c>
      <c r="W27" t="str">
        <f t="shared" si="8"/>
        <v>sh2=7.48637e-07,</v>
      </c>
    </row>
    <row r="28" spans="1:23" x14ac:dyDescent="0.3">
      <c r="A28" s="8" t="s">
        <v>422</v>
      </c>
      <c r="B28" s="2" t="s">
        <v>46</v>
      </c>
      <c r="D28" t="s">
        <v>29</v>
      </c>
      <c r="E28" t="s">
        <v>30</v>
      </c>
      <c r="F28" t="s">
        <v>31</v>
      </c>
      <c r="I28" t="str">
        <f t="shared" si="4"/>
        <v/>
      </c>
      <c r="J28" s="5" t="str">
        <f t="shared" si="0"/>
        <v xml:space="preserve">//Inorganic soluble components  </v>
      </c>
      <c r="P28" s="5" t="str">
        <f t="shared" si="14"/>
        <v>S_ip_start = 0.00397762,</v>
      </c>
      <c r="R28" s="13" t="str">
        <f t="shared" si="6"/>
        <v>digester.S_ip_start = 0.00397762,</v>
      </c>
      <c r="T28" t="str">
        <f t="shared" si="7"/>
        <v>uit.digester.S_ip_start = 0.00397762,</v>
      </c>
      <c r="V28" t="s">
        <v>455</v>
      </c>
      <c r="W28" t="str">
        <f t="shared" si="8"/>
        <v>sch4=0.240558,</v>
      </c>
    </row>
    <row r="29" spans="1:23" x14ac:dyDescent="0.3">
      <c r="A29" s="8" t="s">
        <v>444</v>
      </c>
      <c r="B29" s="2" t="str">
        <f>A27</f>
        <v>7.48637e-07</v>
      </c>
      <c r="D29" t="s">
        <v>1</v>
      </c>
      <c r="E29" t="s">
        <v>2</v>
      </c>
      <c r="F29" t="s">
        <v>32</v>
      </c>
      <c r="G29" t="s">
        <v>4</v>
      </c>
      <c r="H29" t="str">
        <f t="shared" si="13"/>
        <v>7.48637e-07;</v>
      </c>
      <c r="I29" t="str">
        <f t="shared" si="4"/>
        <v>7.48637e-07,</v>
      </c>
      <c r="J29" s="5" t="str">
        <f t="shared" si="0"/>
        <v>parameter SI.MassConcentration S_h2_start = 7.48637e-07;</v>
      </c>
      <c r="L29" t="str">
        <f>SUBSTITUTE(_xlfn.CONCAT(F29," ",G29," ",H29),";",",")</f>
        <v>S_h2_start = 7.48637e-07,</v>
      </c>
      <c r="P29" s="5" t="str">
        <f t="shared" si="14"/>
        <v>S_cat_start = 0.117577,</v>
      </c>
      <c r="R29" s="13" t="str">
        <f t="shared" si="6"/>
        <v>digester.S_cat_start = 0.117577,</v>
      </c>
      <c r="T29" t="str">
        <f t="shared" si="7"/>
        <v>uit.digester.S_cat_start = 0.117577,</v>
      </c>
      <c r="V29" t="s">
        <v>456</v>
      </c>
      <c r="W29" t="str">
        <f t="shared" si="8"/>
        <v>sic=0.172785,</v>
      </c>
    </row>
    <row r="30" spans="1:23" x14ac:dyDescent="0.3">
      <c r="A30" s="8" t="s">
        <v>445</v>
      </c>
      <c r="B30" s="2" t="str">
        <f>A28</f>
        <v>0.240558</v>
      </c>
      <c r="D30" t="s">
        <v>1</v>
      </c>
      <c r="E30" t="s">
        <v>2</v>
      </c>
      <c r="F30" t="s">
        <v>33</v>
      </c>
      <c r="G30" t="s">
        <v>4</v>
      </c>
      <c r="H30" t="str">
        <f t="shared" si="13"/>
        <v>0.240558;</v>
      </c>
      <c r="I30" t="str">
        <f t="shared" si="4"/>
        <v>0.240558,</v>
      </c>
      <c r="J30" s="5" t="str">
        <f t="shared" si="0"/>
        <v>parameter SI.MassConcentration S_ch4_start = 0.240558;</v>
      </c>
      <c r="L30" t="str">
        <f>SUBSTITUTE(_xlfn.CONCAT(F30," ",G30," ",H30),";",",")</f>
        <v>S_ch4_start = 0.240558,</v>
      </c>
      <c r="P30" s="5" t="str">
        <f t="shared" si="14"/>
        <v>S_ca_start = 0.0000668897,</v>
      </c>
      <c r="R30" s="13" t="str">
        <f t="shared" si="6"/>
        <v>digester.S_ca_start = 0.0000668897,</v>
      </c>
      <c r="T30" t="str">
        <f t="shared" si="7"/>
        <v>uit.digester.S_ca_start = 0.0000668897,</v>
      </c>
      <c r="V30" t="s">
        <v>457</v>
      </c>
      <c r="W30" t="str">
        <f t="shared" si="8"/>
        <v>sin=0.079937,</v>
      </c>
    </row>
    <row r="31" spans="1:23" x14ac:dyDescent="0.3">
      <c r="A31" s="8" t="s">
        <v>446</v>
      </c>
      <c r="B31" s="2" t="s">
        <v>46</v>
      </c>
      <c r="D31" t="s">
        <v>34</v>
      </c>
      <c r="E31" t="s">
        <v>35</v>
      </c>
      <c r="F31" t="s">
        <v>31</v>
      </c>
      <c r="I31" t="str">
        <f t="shared" si="4"/>
        <v/>
      </c>
      <c r="J31" s="5" t="str">
        <f t="shared" si="0"/>
        <v xml:space="preserve">//Ionic total components  </v>
      </c>
      <c r="P31" s="5" t="str">
        <f t="shared" si="14"/>
        <v>S_mg_start = 0.000185182,</v>
      </c>
      <c r="R31" s="13" t="str">
        <f t="shared" si="6"/>
        <v>digester.S_mg_start = 0.000185182,</v>
      </c>
      <c r="T31" t="str">
        <f t="shared" si="7"/>
        <v>uit.digester.S_mg_start = 0.000185182,</v>
      </c>
      <c r="V31" t="s">
        <v>458</v>
      </c>
      <c r="W31" t="str">
        <f t="shared" si="8"/>
        <v>sip=0.00397762,</v>
      </c>
    </row>
    <row r="32" spans="1:23" x14ac:dyDescent="0.3">
      <c r="A32" s="8">
        <v>0.117577</v>
      </c>
      <c r="B32" s="2" t="str">
        <f>A29</f>
        <v>0.172785</v>
      </c>
      <c r="D32" t="s">
        <v>1</v>
      </c>
      <c r="E32" t="s">
        <v>36</v>
      </c>
      <c r="F32" t="s">
        <v>37</v>
      </c>
      <c r="G32" t="s">
        <v>4</v>
      </c>
      <c r="H32" t="str">
        <f t="shared" si="13"/>
        <v>0.172785;</v>
      </c>
      <c r="I32" t="str">
        <f t="shared" si="4"/>
        <v>0.172785,</v>
      </c>
      <c r="J32" s="5" t="str">
        <f t="shared" si="0"/>
        <v>parameter Types.MolarDensity_M S_ic_start = 0.172785;</v>
      </c>
      <c r="L32" t="str">
        <f t="shared" ref="L32:L40" si="15">SUBSTITUTE(_xlfn.CONCAT(F32," ",G32," ",H32),";",",")</f>
        <v>S_ic_start = 0.172785,</v>
      </c>
      <c r="P32" s="5" t="str">
        <f t="shared" si="14"/>
        <v>S_an_start = 0.0182832,</v>
      </c>
      <c r="R32" s="13" t="str">
        <f t="shared" si="6"/>
        <v>digester.S_an_start = 0.0182832,</v>
      </c>
      <c r="T32" t="str">
        <f>_xlfn.CONCAT("uit.",R32)</f>
        <v>uit.digester.S_an_start = 0.0182832,</v>
      </c>
      <c r="V32" t="s">
        <v>475</v>
      </c>
      <c r="W32" t="str">
        <f t="shared" si="8"/>
        <v>scat=0.117577,</v>
      </c>
    </row>
    <row r="33" spans="1:23" x14ac:dyDescent="0.3">
      <c r="A33" s="8">
        <v>6.6889699999999998E-5</v>
      </c>
      <c r="B33" s="2" t="str">
        <f t="shared" ref="B33:B40" si="16">A30</f>
        <v>0.079937</v>
      </c>
      <c r="D33" t="s">
        <v>1</v>
      </c>
      <c r="E33" t="s">
        <v>36</v>
      </c>
      <c r="F33" t="s">
        <v>38</v>
      </c>
      <c r="G33" t="s">
        <v>4</v>
      </c>
      <c r="H33" t="str">
        <f t="shared" si="13"/>
        <v>0.079937;</v>
      </c>
      <c r="I33" t="str">
        <f t="shared" si="4"/>
        <v>0.079937,</v>
      </c>
      <c r="J33" s="5" t="str">
        <f t="shared" si="0"/>
        <v>parameter Types.MolarDensity_M S_in_start = 0.079937;</v>
      </c>
      <c r="L33" t="str">
        <f t="shared" si="15"/>
        <v>S_in_start = 0.079937,</v>
      </c>
      <c r="P33" s="5" t="str">
        <f t="shared" si="14"/>
        <v>ash_start = 13.3083,</v>
      </c>
      <c r="R33" s="13" t="str">
        <f t="shared" si="6"/>
        <v>digester.ash_start = 13.3083,</v>
      </c>
      <c r="T33" t="str">
        <f t="shared" si="7"/>
        <v>uit.digester.ash_start = 13.3083,</v>
      </c>
      <c r="V33" t="s">
        <v>459</v>
      </c>
      <c r="W33" t="str">
        <f t="shared" si="8"/>
        <v>sca=0.0000668897,</v>
      </c>
    </row>
    <row r="34" spans="1:23" x14ac:dyDescent="0.3">
      <c r="A34" s="8">
        <v>1.8518199999999999E-4</v>
      </c>
      <c r="B34" s="2" t="str">
        <f t="shared" si="16"/>
        <v>0.00397762</v>
      </c>
      <c r="D34" t="s">
        <v>1</v>
      </c>
      <c r="E34" t="s">
        <v>36</v>
      </c>
      <c r="F34" t="s">
        <v>39</v>
      </c>
      <c r="G34" t="s">
        <v>4</v>
      </c>
      <c r="H34" t="str">
        <f t="shared" si="13"/>
        <v>0.00397762;</v>
      </c>
      <c r="I34" t="str">
        <f t="shared" si="4"/>
        <v>0.00397762,</v>
      </c>
      <c r="J34" s="5" t="str">
        <f t="shared" si="0"/>
        <v>parameter Types.MolarDensity_M S_ip_start = 0.00397762;</v>
      </c>
      <c r="L34" t="str">
        <f t="shared" si="15"/>
        <v>S_ip_start = 0.00397762,</v>
      </c>
      <c r="P34" s="5" t="str">
        <f t="shared" si="14"/>
        <v>X_lig_start = 8.2359,</v>
      </c>
      <c r="R34" s="13" t="str">
        <f t="shared" si="6"/>
        <v>digester.X_lig_start = 8.2359,</v>
      </c>
      <c r="T34" t="str">
        <f t="shared" si="7"/>
        <v>uit.digester.X_lig_start = 8.2359,</v>
      </c>
      <c r="V34" t="s">
        <v>460</v>
      </c>
      <c r="W34" t="str">
        <f t="shared" si="8"/>
        <v>smg=0.000185182,</v>
      </c>
    </row>
    <row r="35" spans="1:23" x14ac:dyDescent="0.3">
      <c r="A35" s="8">
        <v>1.8283199999999999E-2</v>
      </c>
      <c r="B35" s="2">
        <f t="shared" si="16"/>
        <v>0.117577</v>
      </c>
      <c r="D35" t="s">
        <v>1</v>
      </c>
      <c r="E35" t="s">
        <v>36</v>
      </c>
      <c r="F35" t="s">
        <v>40</v>
      </c>
      <c r="G35" t="s">
        <v>4</v>
      </c>
      <c r="H35" t="str">
        <f t="shared" si="13"/>
        <v>0.117577;</v>
      </c>
      <c r="I35" t="str">
        <f t="shared" si="4"/>
        <v>0.117577,</v>
      </c>
      <c r="J35" s="5" t="str">
        <f t="shared" si="0"/>
        <v>parameter Types.MolarDensity_M S_cat_start = 0.117577;</v>
      </c>
      <c r="L35" t="str">
        <f t="shared" si="15"/>
        <v>S_cat_start = 0.117577,</v>
      </c>
      <c r="P35" s="5" t="str">
        <f>L43</f>
        <v>S_gas_h2_start = 0.00000661494,</v>
      </c>
      <c r="R35" s="13" t="str">
        <f t="shared" si="6"/>
        <v>digester.S_gas_h2_start = 0.00000661494,</v>
      </c>
      <c r="T35" t="str">
        <f t="shared" si="7"/>
        <v>uit.digester.S_gas_h2_start = 0.00000661494,</v>
      </c>
      <c r="V35" t="s">
        <v>461</v>
      </c>
      <c r="W35" t="str">
        <f t="shared" si="8"/>
        <v>san=0.0182832,</v>
      </c>
    </row>
    <row r="36" spans="1:23" x14ac:dyDescent="0.3">
      <c r="A36" s="8">
        <v>13.308299999999999</v>
      </c>
      <c r="B36" s="2">
        <f t="shared" si="16"/>
        <v>6.6889699999999998E-5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3"/>
        <v>0.0000668897;</v>
      </c>
      <c r="I36" t="str">
        <f t="shared" si="4"/>
        <v>0.0000668897,</v>
      </c>
      <c r="J36" s="5" t="str">
        <f t="shared" si="0"/>
        <v>parameter Types.MolarDensity_M S_ca_start = 0.0000668897;</v>
      </c>
      <c r="L36" t="str">
        <f t="shared" si="15"/>
        <v>S_ca_start = 0.0000668897,</v>
      </c>
      <c r="P36" s="5" t="str">
        <f>L44</f>
        <v>S_gas_ch4_start = 1.26849,</v>
      </c>
      <c r="R36" s="13" t="str">
        <f t="shared" si="6"/>
        <v>digester.S_gas_ch4_start = 1.26849,</v>
      </c>
      <c r="T36" t="str">
        <f t="shared" si="7"/>
        <v>uit.digester.S_gas_ch4_start = 1.26849,</v>
      </c>
      <c r="V36" t="s">
        <v>462</v>
      </c>
      <c r="W36" t="str">
        <f t="shared" si="8"/>
        <v>xash=13.3083,</v>
      </c>
    </row>
    <row r="37" spans="1:23" x14ac:dyDescent="0.3">
      <c r="A37" s="8">
        <v>8.2359000000000009</v>
      </c>
      <c r="B37" s="2">
        <f t="shared" si="16"/>
        <v>1.8518199999999999E-4</v>
      </c>
      <c r="D37" t="s">
        <v>1</v>
      </c>
      <c r="E37" t="s">
        <v>36</v>
      </c>
      <c r="F37" t="s">
        <v>42</v>
      </c>
      <c r="G37" t="s">
        <v>4</v>
      </c>
      <c r="H37" t="str">
        <f t="shared" si="13"/>
        <v>0.000185182;</v>
      </c>
      <c r="I37" t="str">
        <f t="shared" si="4"/>
        <v>0.000185182,</v>
      </c>
      <c r="J37" s="5" t="str">
        <f t="shared" si="0"/>
        <v>parameter Types.MolarDensity_M S_mg_start = 0.000185182;</v>
      </c>
      <c r="L37" t="str">
        <f t="shared" si="15"/>
        <v>S_mg_start = 0.000185182,</v>
      </c>
      <c r="P37" s="5" t="str">
        <f>L45</f>
        <v>S_gas_co2_start = 0.0165666,</v>
      </c>
      <c r="R37" s="13" t="str">
        <f t="shared" si="6"/>
        <v>digester.S_gas_co2_start = 0.0165666,</v>
      </c>
      <c r="T37" t="str">
        <f t="shared" si="7"/>
        <v>uit.digester.S_gas_co2_start = 0.0165666,</v>
      </c>
      <c r="V37" t="s">
        <v>363</v>
      </c>
      <c r="W37" t="str">
        <f t="shared" si="8"/>
        <v>xlig=8.2359,</v>
      </c>
    </row>
    <row r="38" spans="1:23" x14ac:dyDescent="0.3">
      <c r="A38" s="8">
        <v>6.6149400000000002E-6</v>
      </c>
      <c r="B38" s="2">
        <f t="shared" si="16"/>
        <v>1.8283199999999999E-2</v>
      </c>
      <c r="D38" t="s">
        <v>1</v>
      </c>
      <c r="E38" t="s">
        <v>36</v>
      </c>
      <c r="F38" t="s">
        <v>43</v>
      </c>
      <c r="G38" t="s">
        <v>4</v>
      </c>
      <c r="H38" t="str">
        <f t="shared" si="13"/>
        <v>0.0182832;</v>
      </c>
      <c r="I38" t="str">
        <f t="shared" si="4"/>
        <v>0.0182832,</v>
      </c>
      <c r="J38" s="5" t="str">
        <f t="shared" si="0"/>
        <v>parameter Types.MolarDensity_M S_an_start = 0.0182832;</v>
      </c>
      <c r="L38" t="str">
        <f t="shared" si="15"/>
        <v>S_an_start = 0.0182832,</v>
      </c>
      <c r="P38" s="5" t="str">
        <f>L46</f>
        <v>S_gas_nh3_start = 0.00000118352,</v>
      </c>
      <c r="R38" s="13" t="str">
        <f t="shared" si="6"/>
        <v>digester.S_gas_nh3_start = 0.00000118352,</v>
      </c>
      <c r="T38" t="str">
        <f t="shared" si="7"/>
        <v>uit.digester.S_gas_nh3_start = 0.00000118352,</v>
      </c>
      <c r="V38" t="s">
        <v>463</v>
      </c>
      <c r="W38" t="str">
        <f t="shared" si="8"/>
        <v>sgh2=0.00000661494,</v>
      </c>
    </row>
    <row r="39" spans="1:23" x14ac:dyDescent="0.3">
      <c r="A39" s="8">
        <v>1.2684899999999999</v>
      </c>
      <c r="B39" s="2">
        <f t="shared" si="16"/>
        <v>13.308299999999999</v>
      </c>
      <c r="D39" t="s">
        <v>1</v>
      </c>
      <c r="E39" t="s">
        <v>2</v>
      </c>
      <c r="F39" t="s">
        <v>44</v>
      </c>
      <c r="G39" t="s">
        <v>4</v>
      </c>
      <c r="H39" t="str">
        <f t="shared" si="13"/>
        <v>13.3083;</v>
      </c>
      <c r="I39" t="str">
        <f t="shared" si="4"/>
        <v>13.3083,</v>
      </c>
      <c r="J39" s="5" t="str">
        <f t="shared" si="0"/>
        <v>parameter SI.MassConcentration ash_start = 13.3083;</v>
      </c>
      <c r="L39" t="str">
        <f t="shared" si="15"/>
        <v>ash_start = 13.3083,</v>
      </c>
      <c r="P39" s="5" t="str">
        <f>L48</f>
        <v>X_acp_start = 0.0000000000165461,</v>
      </c>
      <c r="R39" s="13" t="str">
        <f t="shared" si="6"/>
        <v>digester.X_acp_start = 0.0000000000165461,</v>
      </c>
      <c r="T39" t="str">
        <f t="shared" si="7"/>
        <v>uit.digester.X_acp_start = 0.0000000000165461,</v>
      </c>
      <c r="V39" t="s">
        <v>464</v>
      </c>
      <c r="W39" t="str">
        <f t="shared" si="8"/>
        <v>sgch4=1.26849,</v>
      </c>
    </row>
    <row r="40" spans="1:23" x14ac:dyDescent="0.3">
      <c r="A40" s="8">
        <v>1.6566600000000001E-2</v>
      </c>
      <c r="B40" s="2">
        <f t="shared" si="16"/>
        <v>8.2359000000000009</v>
      </c>
      <c r="D40" t="s">
        <v>1</v>
      </c>
      <c r="E40" t="s">
        <v>2</v>
      </c>
      <c r="F40" t="s">
        <v>45</v>
      </c>
      <c r="G40" t="s">
        <v>4</v>
      </c>
      <c r="H40" t="str">
        <f t="shared" si="13"/>
        <v>8.2359;</v>
      </c>
      <c r="I40" t="str">
        <f t="shared" si="4"/>
        <v>8.2359,</v>
      </c>
      <c r="J40" s="5" t="str">
        <f t="shared" si="0"/>
        <v>parameter SI.MassConcentration X_lig_start = 8.2359;</v>
      </c>
      <c r="L40" t="str">
        <f t="shared" si="15"/>
        <v>X_lig_start = 8.2359,</v>
      </c>
      <c r="P40" s="5" t="str">
        <f>L49</f>
        <v>X_stru_start = 0.0111487,</v>
      </c>
      <c r="R40" s="13" t="str">
        <f t="shared" si="6"/>
        <v>digester.X_stru_start = 0.0111487,</v>
      </c>
      <c r="T40" t="str">
        <f t="shared" si="7"/>
        <v>uit.digester.X_stru_start = 0.0111487,</v>
      </c>
      <c r="V40" t="s">
        <v>465</v>
      </c>
      <c r="W40" t="str">
        <f t="shared" si="8"/>
        <v>sgco2=0.0165666,</v>
      </c>
    </row>
    <row r="41" spans="1:23" x14ac:dyDescent="0.3">
      <c r="A41" s="8">
        <v>1.1835200000000001E-6</v>
      </c>
      <c r="B41" s="2"/>
      <c r="D41" t="s">
        <v>19</v>
      </c>
      <c r="I41" t="str">
        <f t="shared" si="4"/>
        <v/>
      </c>
      <c r="J41" s="5" t="str">
        <f t="shared" si="0"/>
        <v xml:space="preserve">//    </v>
      </c>
      <c r="P41" s="5" t="str">
        <f>L50</f>
        <v>X_ccm_start = 0.00596211,</v>
      </c>
      <c r="R41" s="13" t="str">
        <f t="shared" si="6"/>
        <v>digester.X_ccm_start = 0.00596211,</v>
      </c>
      <c r="T41" t="str">
        <f t="shared" si="7"/>
        <v>uit.digester.X_ccm_start = 0.00596211,</v>
      </c>
      <c r="V41" t="s">
        <v>466</v>
      </c>
      <c r="W41" t="str">
        <f t="shared" si="8"/>
        <v>sgnh3=0.00000118352,</v>
      </c>
    </row>
    <row r="42" spans="1:23" ht="15" thickBot="1" x14ac:dyDescent="0.35">
      <c r="A42" s="8">
        <v>1.6546100000000001E-11</v>
      </c>
      <c r="B42" s="2"/>
      <c r="D42" t="s">
        <v>48</v>
      </c>
      <c r="E42" t="s">
        <v>31</v>
      </c>
      <c r="I42" t="str">
        <f t="shared" si="4"/>
        <v/>
      </c>
      <c r="J42" s="5" t="str">
        <f t="shared" si="0"/>
        <v xml:space="preserve">//Gas components   </v>
      </c>
      <c r="P42" s="6" t="str">
        <f>L51</f>
        <v>X_mag_start = 0.00000000374112</v>
      </c>
      <c r="R42" s="13" t="str">
        <f t="shared" si="6"/>
        <v>digester.X_mag_start = 0.00000000374112</v>
      </c>
      <c r="T42" t="str">
        <f t="shared" si="7"/>
        <v>uit.digester.X_mag_start = 0.00000000374112</v>
      </c>
      <c r="V42" t="s">
        <v>467</v>
      </c>
      <c r="W42" t="str">
        <f>_xlfn.CONCAT(V42,"=",0,",")</f>
        <v>sgn2=0,</v>
      </c>
    </row>
    <row r="43" spans="1:23" ht="15" thickBot="1" x14ac:dyDescent="0.35">
      <c r="A43" s="8">
        <v>1.1148699999999999E-2</v>
      </c>
      <c r="B43" s="2">
        <f>A38</f>
        <v>6.6149400000000002E-6</v>
      </c>
      <c r="D43" t="s">
        <v>1</v>
      </c>
      <c r="E43" t="s">
        <v>2</v>
      </c>
      <c r="F43" t="s">
        <v>49</v>
      </c>
      <c r="G43" t="s">
        <v>4</v>
      </c>
      <c r="H43" t="str">
        <f t="shared" si="13"/>
        <v>0.00000661494;</v>
      </c>
      <c r="I43" t="str">
        <f t="shared" si="4"/>
        <v>0.00000661494,</v>
      </c>
      <c r="J43" s="5" t="str">
        <f t="shared" si="0"/>
        <v>parameter SI.MassConcentration S_gas_h2_start = 0.00000661494;</v>
      </c>
      <c r="L43" t="str">
        <f>SUBSTITUTE(_xlfn.CONCAT(F43," ",G43," ",H43),";",",")</f>
        <v>S_gas_h2_start = 0.00000661494,</v>
      </c>
      <c r="P43" s="3" t="s">
        <v>62</v>
      </c>
      <c r="R43" s="13"/>
      <c r="V43" t="s">
        <v>343</v>
      </c>
      <c r="W43" t="str">
        <f>_xlfn.CONCAT(V43,"=",A42,",")</f>
        <v>xacp=0.0000000000165461,</v>
      </c>
    </row>
    <row r="44" spans="1:23" ht="16.2" thickBot="1" x14ac:dyDescent="0.35">
      <c r="A44" s="8">
        <v>5.9621099999999996E-3</v>
      </c>
      <c r="B44" s="2">
        <f t="shared" ref="B44:B46" si="17">A39</f>
        <v>1.2684899999999999</v>
      </c>
      <c r="D44" t="s">
        <v>1</v>
      </c>
      <c r="E44" t="s">
        <v>2</v>
      </c>
      <c r="F44" t="s">
        <v>50</v>
      </c>
      <c r="G44" t="s">
        <v>4</v>
      </c>
      <c r="H44" t="str">
        <f t="shared" si="13"/>
        <v>1.26849;</v>
      </c>
      <c r="I44" t="str">
        <f t="shared" si="4"/>
        <v>1.26849,</v>
      </c>
      <c r="J44" s="5" t="str">
        <f t="shared" si="0"/>
        <v>parameter SI.MassConcentration S_gas_ch4_start = 1.26849;</v>
      </c>
      <c r="L44" t="str">
        <f>SUBSTITUTE(_xlfn.CONCAT(F44," ",G44," ",H44),";",",")</f>
        <v>S_gas_ch4_start = 1.26849,</v>
      </c>
      <c r="P44" s="11" t="str">
        <f>L53</f>
        <v>xi_start = 0.0200309,</v>
      </c>
      <c r="R44" s="14" t="str">
        <f>_xlfn.CONCAT("limPID.",P44)</f>
        <v>limPID.xi_start = 0.0200309,</v>
      </c>
      <c r="T44" t="str">
        <f t="shared" si="7"/>
        <v>uit.limPID.xi_start = 0.0200309,</v>
      </c>
      <c r="V44" t="s">
        <v>369</v>
      </c>
      <c r="W44" t="str">
        <f t="shared" ref="W44:W46" si="18">_xlfn.CONCAT(V44,"=",A43,",")</f>
        <v>xstru=0.0111487,</v>
      </c>
    </row>
    <row r="45" spans="1:23" ht="15" thickBot="1" x14ac:dyDescent="0.35">
      <c r="A45" s="9">
        <v>3.7411199999999996E-9</v>
      </c>
      <c r="B45" s="2">
        <f t="shared" si="17"/>
        <v>1.6566600000000001E-2</v>
      </c>
      <c r="D45" t="s">
        <v>1</v>
      </c>
      <c r="E45" t="s">
        <v>36</v>
      </c>
      <c r="F45" t="s">
        <v>51</v>
      </c>
      <c r="G45" t="s">
        <v>4</v>
      </c>
      <c r="H45" t="str">
        <f t="shared" si="13"/>
        <v>0.0165666;</v>
      </c>
      <c r="I45" t="str">
        <f t="shared" si="4"/>
        <v>0.0165666,</v>
      </c>
      <c r="J45" s="5" t="str">
        <f t="shared" si="0"/>
        <v>parameter Types.MolarDensity_M S_gas_co2_start = 0.0165666;</v>
      </c>
      <c r="L45" t="str">
        <f>SUBSTITUTE(_xlfn.CONCAT(F45," ",G45," ",H45),";",",")</f>
        <v>S_gas_co2_start = 0.0165666,</v>
      </c>
      <c r="V45" t="s">
        <v>352</v>
      </c>
      <c r="W45" t="str">
        <f t="shared" si="18"/>
        <v>xccm=0.00596211,</v>
      </c>
    </row>
    <row r="46" spans="1:23" ht="15" thickBot="1" x14ac:dyDescent="0.35">
      <c r="A46" s="3" t="s">
        <v>62</v>
      </c>
      <c r="B46" s="2">
        <f t="shared" si="17"/>
        <v>1.1835200000000001E-6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3"/>
        <v>0.00000118352;</v>
      </c>
      <c r="I46" t="str">
        <f t="shared" si="4"/>
        <v>0.00000118352,</v>
      </c>
      <c r="J46" s="5" t="str">
        <f t="shared" si="0"/>
        <v>parameter Types.MolarDensity_M S_gas_nh3_start = 0.00000118352;</v>
      </c>
      <c r="L46" t="str">
        <f>SUBSTITUTE(_xlfn.CONCAT(F46," ",G46," ",H46),";",",")</f>
        <v>S_gas_nh3_start = 0.00000118352,</v>
      </c>
      <c r="V46" t="s">
        <v>364</v>
      </c>
      <c r="W46" t="str">
        <f t="shared" si="18"/>
        <v>xmag=0.00000000374112,</v>
      </c>
    </row>
    <row r="47" spans="1:23" ht="15" thickBot="1" x14ac:dyDescent="0.35">
      <c r="A47" s="10">
        <v>2.0030900000000001E-2</v>
      </c>
      <c r="I47" t="str">
        <f t="shared" si="4"/>
        <v/>
      </c>
      <c r="J47" s="5" t="str">
        <f t="shared" si="0"/>
        <v xml:space="preserve">    </v>
      </c>
      <c r="V47" t="s">
        <v>468</v>
      </c>
      <c r="W47" t="str">
        <f>_xlfn.CONCAT(V47,"=",A47,",")</f>
        <v>pidi=0.0200309,</v>
      </c>
    </row>
    <row r="48" spans="1:23" ht="15" thickBot="1" x14ac:dyDescent="0.35">
      <c r="A48" s="3" t="s">
        <v>474</v>
      </c>
      <c r="B48" s="2">
        <f>A42</f>
        <v>1.6546100000000001E-11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3"/>
        <v>0.0000000000165461;</v>
      </c>
      <c r="I48" t="str">
        <f t="shared" si="4"/>
        <v>0.0000000000165461,</v>
      </c>
      <c r="J48" s="5" t="str">
        <f t="shared" si="0"/>
        <v>parameter Types.MolarDensity_M X_acp_start = 0.0000000000165461;</v>
      </c>
      <c r="L48" t="str">
        <f>SUBSTITUTE(_xlfn.CONCAT(F48," ",G48," ",H48),";",",")</f>
        <v>X_acp_start = 0.0000000000165461,</v>
      </c>
      <c r="V48" t="s">
        <v>469</v>
      </c>
      <c r="W48" t="str">
        <f>_xlfn.CONCAT(V48,"=",A49,",")</f>
        <v>sgbch4=1.26448,</v>
      </c>
    </row>
    <row r="49" spans="1:23" x14ac:dyDescent="0.3">
      <c r="A49" s="7">
        <v>1.26448</v>
      </c>
      <c r="B49" s="2">
        <f t="shared" ref="B49:B51" si="19">A43</f>
        <v>1.1148699999999999E-2</v>
      </c>
      <c r="D49" t="s">
        <v>1</v>
      </c>
      <c r="E49" t="s">
        <v>36</v>
      </c>
      <c r="F49" t="s">
        <v>54</v>
      </c>
      <c r="G49" t="s">
        <v>4</v>
      </c>
      <c r="H49" t="str">
        <f t="shared" si="13"/>
        <v>0.0111487;</v>
      </c>
      <c r="I49" t="str">
        <f t="shared" si="4"/>
        <v>0.0111487,</v>
      </c>
      <c r="J49" s="5" t="str">
        <f t="shared" si="0"/>
        <v>parameter Types.MolarDensity_M X_stru_start = 0.0111487;</v>
      </c>
      <c r="L49" t="str">
        <f>SUBSTITUTE(_xlfn.CONCAT(F49," ",G49," ",H49),";",",")</f>
        <v>X_stru_start = 0.0111487,</v>
      </c>
      <c r="V49" t="s">
        <v>470</v>
      </c>
      <c r="W49" t="str">
        <f t="shared" ref="W49:W51" si="20">_xlfn.CONCAT(V49,"=",A50,",")</f>
        <v>sgbco2=0.0165142,</v>
      </c>
    </row>
    <row r="50" spans="1:23" x14ac:dyDescent="0.3">
      <c r="A50" s="8">
        <v>1.65142E-2</v>
      </c>
      <c r="B50" s="2">
        <f t="shared" si="19"/>
        <v>5.9621099999999996E-3</v>
      </c>
      <c r="D50" t="s">
        <v>1</v>
      </c>
      <c r="E50" t="s">
        <v>36</v>
      </c>
      <c r="F50" t="s">
        <v>55</v>
      </c>
      <c r="G50" t="s">
        <v>4</v>
      </c>
      <c r="H50" t="str">
        <f t="shared" si="13"/>
        <v>0.00596211;</v>
      </c>
      <c r="I50" t="str">
        <f t="shared" si="4"/>
        <v>0.00596211,</v>
      </c>
      <c r="J50" s="5" t="str">
        <f t="shared" si="0"/>
        <v>parameter Types.MolarDensity_M X_ccm_start = 0.00596211;</v>
      </c>
      <c r="L50" t="str">
        <f>SUBSTITUTE(_xlfn.CONCAT(F50," ",G50," ",H50),";",",")</f>
        <v>X_ccm_start = 0.00596211,</v>
      </c>
      <c r="V50" t="s">
        <v>471</v>
      </c>
      <c r="W50" t="str">
        <f t="shared" si="20"/>
        <v>sgbnh3=0.00000117977,</v>
      </c>
    </row>
    <row r="51" spans="1:23" ht="15" thickBot="1" x14ac:dyDescent="0.35">
      <c r="A51" s="8">
        <v>1.1797699999999999E-6</v>
      </c>
      <c r="B51" s="2">
        <f t="shared" si="19"/>
        <v>3.7411199999999996E-9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3"/>
        <v>0.00000000374112;</v>
      </c>
      <c r="I51" t="str">
        <f t="shared" si="4"/>
        <v>0.00000000374112,</v>
      </c>
      <c r="J51" s="6" t="str">
        <f t="shared" si="0"/>
        <v>parameter Types.MolarDensity_M X_mag_start = 0.00000000374112;</v>
      </c>
      <c r="L51" t="str">
        <f>SUBSTITUTE(_xlfn.CONCAT(F51," ",G51," ",H51),";","")</f>
        <v>X_mag_start = 0.00000000374112</v>
      </c>
      <c r="V51" t="s">
        <v>472</v>
      </c>
      <c r="W51" t="str">
        <f t="shared" si="20"/>
        <v>sgbh2=0.00000659401,</v>
      </c>
    </row>
    <row r="52" spans="1:23" x14ac:dyDescent="0.3">
      <c r="A52" s="8">
        <v>6.5940099999999997E-6</v>
      </c>
      <c r="V52" t="s">
        <v>473</v>
      </c>
      <c r="W52" t="str">
        <f>_xlfn.CONCAT(V52,"=",A53,";")</f>
        <v>sgbn2=0;</v>
      </c>
    </row>
    <row r="53" spans="1:23" ht="16.2" thickBot="1" x14ac:dyDescent="0.35">
      <c r="A53" s="9">
        <v>0</v>
      </c>
      <c r="L53" s="1" t="str">
        <f>_xlfn.CONCAT("xi_start ="," ",A47,",")</f>
        <v>xi_start = 0.0200309,</v>
      </c>
    </row>
    <row r="55" spans="1:23" ht="15.6" x14ac:dyDescent="0.3">
      <c r="C55" s="17"/>
    </row>
    <row r="56" spans="1:23" x14ac:dyDescent="0.3">
      <c r="A56" s="15"/>
      <c r="B56" s="2"/>
    </row>
    <row r="57" spans="1:23" x14ac:dyDescent="0.3">
      <c r="B57" s="2"/>
    </row>
    <row r="58" spans="1:23" x14ac:dyDescent="0.3">
      <c r="B58" s="2"/>
    </row>
    <row r="59" spans="1:23" x14ac:dyDescent="0.3">
      <c r="A59" s="15"/>
      <c r="B59" s="2"/>
    </row>
    <row r="60" spans="1:23" x14ac:dyDescent="0.3">
      <c r="A60" s="15"/>
      <c r="B60" s="2"/>
    </row>
    <row r="61" spans="1:23" x14ac:dyDescent="0.3">
      <c r="A61" s="15"/>
      <c r="B61" s="2"/>
    </row>
    <row r="62" spans="1:23" x14ac:dyDescent="0.3">
      <c r="B62" s="2"/>
    </row>
    <row r="63" spans="1:23" x14ac:dyDescent="0.3">
      <c r="B63" s="2"/>
    </row>
    <row r="64" spans="1:23" x14ac:dyDescent="0.3">
      <c r="A64" s="15"/>
      <c r="B64" s="2"/>
      <c r="C64" t="s">
        <v>235</v>
      </c>
    </row>
    <row r="65" spans="2:3" x14ac:dyDescent="0.3">
      <c r="B65" s="2"/>
    </row>
    <row r="66" spans="2:3" x14ac:dyDescent="0.3">
      <c r="C66" s="2"/>
    </row>
    <row r="67" spans="2:3" x14ac:dyDescent="0.3">
      <c r="C67" s="2"/>
    </row>
    <row r="68" spans="2:3" x14ac:dyDescent="0.3">
      <c r="C68" s="2"/>
    </row>
    <row r="69" spans="2:3" x14ac:dyDescent="0.3">
      <c r="C69" s="2"/>
    </row>
    <row r="70" spans="2:3" x14ac:dyDescent="0.3">
      <c r="C70" s="2"/>
    </row>
    <row r="71" spans="2:3" x14ac:dyDescent="0.3">
      <c r="C71" s="2"/>
    </row>
    <row r="72" spans="2:3" x14ac:dyDescent="0.3">
      <c r="C72" s="2"/>
    </row>
    <row r="73" spans="2:3" x14ac:dyDescent="0.3">
      <c r="C73" s="2"/>
    </row>
    <row r="74" spans="2:3" x14ac:dyDescent="0.3">
      <c r="C74" s="2"/>
    </row>
    <row r="75" spans="2:3" x14ac:dyDescent="0.3">
      <c r="C75" s="2"/>
    </row>
    <row r="76" spans="2:3" x14ac:dyDescent="0.3">
      <c r="C76" s="2"/>
    </row>
    <row r="77" spans="2:3" x14ac:dyDescent="0.3">
      <c r="C77" s="2"/>
    </row>
    <row r="78" spans="2:3" x14ac:dyDescent="0.3">
      <c r="C78" s="2"/>
    </row>
    <row r="79" spans="2:3" x14ac:dyDescent="0.3">
      <c r="C79" s="2"/>
    </row>
    <row r="80" spans="2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18BE-14A9-471E-9810-8399980BF5F3}">
  <dimension ref="A1:W111"/>
  <sheetViews>
    <sheetView tabSelected="1" topLeftCell="N26" zoomScaleNormal="100" workbookViewId="0">
      <selection activeCell="W3" sqref="W3:W52"/>
    </sheetView>
  </sheetViews>
  <sheetFormatPr defaultRowHeight="14.4" x14ac:dyDescent="0.3"/>
  <cols>
    <col min="1" max="1" width="13.88671875" customWidth="1"/>
    <col min="2" max="2" width="14.5546875" customWidth="1"/>
    <col min="10" max="10" width="69.5546875" bestFit="1" customWidth="1"/>
    <col min="16" max="16" width="39.88671875" customWidth="1"/>
    <col min="18" max="18" width="46" customWidth="1"/>
    <col min="20" max="20" width="51.21875" bestFit="1" customWidth="1"/>
  </cols>
  <sheetData>
    <row r="1" spans="1:23" ht="15" thickBot="1" x14ac:dyDescent="0.35">
      <c r="A1" s="3" t="s">
        <v>57</v>
      </c>
      <c r="B1" s="3" t="s">
        <v>58</v>
      </c>
      <c r="C1" s="3"/>
      <c r="D1" s="16" t="s">
        <v>417</v>
      </c>
      <c r="E1" s="3"/>
      <c r="F1" s="3"/>
      <c r="G1" s="3"/>
      <c r="H1" s="3"/>
      <c r="I1" s="3"/>
      <c r="J1" s="3" t="s">
        <v>59</v>
      </c>
      <c r="K1" s="3"/>
      <c r="L1" s="3"/>
      <c r="M1" s="3"/>
      <c r="N1" s="3"/>
      <c r="O1" s="3"/>
      <c r="P1" s="3" t="s">
        <v>60</v>
      </c>
      <c r="R1" s="3" t="s">
        <v>63</v>
      </c>
    </row>
    <row r="2" spans="1:23" ht="15" thickBot="1" x14ac:dyDescent="0.35">
      <c r="A2" s="3" t="s">
        <v>61</v>
      </c>
      <c r="D2" t="s">
        <v>0</v>
      </c>
      <c r="J2" s="4" t="str">
        <f>_xlfn.CONCAT(D2," ",E2," ",F2," ",G2," ",H2)</f>
        <v xml:space="preserve">//Biomasses    </v>
      </c>
      <c r="P2" s="3" t="s">
        <v>61</v>
      </c>
      <c r="R2" s="3" t="s">
        <v>61</v>
      </c>
    </row>
    <row r="3" spans="1:23" x14ac:dyDescent="0.3">
      <c r="A3" s="2">
        <v>1.7746200000000001</v>
      </c>
      <c r="B3" s="2">
        <f>A3</f>
        <v>1.7746200000000001</v>
      </c>
      <c r="D3" t="s">
        <v>1</v>
      </c>
      <c r="E3" t="s">
        <v>2</v>
      </c>
      <c r="F3" t="s">
        <v>3</v>
      </c>
      <c r="G3" t="s">
        <v>4</v>
      </c>
      <c r="H3" t="str">
        <f>_xlfn.CONCAT(B3,";")</f>
        <v>1.77462;</v>
      </c>
      <c r="I3" t="str">
        <f>SUBSTITUTE(H3,";",",")</f>
        <v>1.77462,</v>
      </c>
      <c r="J3" s="5" t="str">
        <f t="shared" ref="J3:J51" si="0">_xlfn.CONCAT(D3," ",E3," ",F3," ",G3," ",H3,)</f>
        <v>parameter SI.MassConcentration X_su_start = 1.77462;</v>
      </c>
      <c r="L3" t="str">
        <f t="shared" ref="L3:L9" si="1">SUBSTITUTE(_xlfn.CONCAT(F3," ",G3," ",H3),";",",")</f>
        <v>X_su_start = 1.77462,</v>
      </c>
      <c r="P3" s="4" t="str">
        <f>L3</f>
        <v>X_su_start = 1.77462,</v>
      </c>
      <c r="R3" s="12" t="str">
        <f>_xlfn.CONCAT("digester.",P3)</f>
        <v>digester.X_su_start = 1.77462,</v>
      </c>
      <c r="T3" t="str">
        <f>_xlfn.CONCAT("uit.",R3)</f>
        <v>uit.digester.X_su_start = 1.77462,</v>
      </c>
      <c r="V3" t="s">
        <v>370</v>
      </c>
      <c r="W3" t="str">
        <f>_xlfn.CONCAT(V3,"=",A3,",")</f>
        <v>xsu=1.77462,</v>
      </c>
    </row>
    <row r="4" spans="1:23" x14ac:dyDescent="0.3">
      <c r="A4" s="2">
        <v>0.38411099999999998</v>
      </c>
      <c r="B4" s="2">
        <f t="shared" ref="B4:B9" si="2">A4</f>
        <v>0.38411099999999998</v>
      </c>
      <c r="D4" t="s">
        <v>1</v>
      </c>
      <c r="E4" t="s">
        <v>2</v>
      </c>
      <c r="F4" t="s">
        <v>5</v>
      </c>
      <c r="G4" t="s">
        <v>4</v>
      </c>
      <c r="H4" t="str">
        <f t="shared" ref="H4:H12" si="3">_xlfn.CONCAT(B4,";")</f>
        <v>0.384111;</v>
      </c>
      <c r="I4" t="str">
        <f t="shared" ref="I4:I51" si="4">SUBSTITUTE(H4,";",",")</f>
        <v>0.384111,</v>
      </c>
      <c r="J4" s="5" t="str">
        <f t="shared" si="0"/>
        <v>parameter SI.MassConcentration X_aa_start = 0.384111;</v>
      </c>
      <c r="L4" t="str">
        <f t="shared" si="1"/>
        <v>X_aa_start = 0.384111,</v>
      </c>
      <c r="P4" s="5" t="str">
        <f t="shared" ref="P4:P9" si="5">L4</f>
        <v>X_aa_start = 0.384111,</v>
      </c>
      <c r="R4" s="13" t="str">
        <f t="shared" ref="R4:R42" si="6">_xlfn.CONCAT("digester.",P4)</f>
        <v>digester.X_aa_start = 0.384111,</v>
      </c>
      <c r="T4" t="str">
        <f t="shared" ref="T4:T44" si="7">_xlfn.CONCAT("uit.",R4)</f>
        <v>uit.digester.X_aa_start = 0.384111,</v>
      </c>
      <c r="V4" t="s">
        <v>341</v>
      </c>
      <c r="W4" t="str">
        <f t="shared" ref="W4:W41" si="8">_xlfn.CONCAT(V4,"=",A4,",")</f>
        <v>xaa=0.384111,</v>
      </c>
    </row>
    <row r="5" spans="1:23" x14ac:dyDescent="0.3">
      <c r="A5" s="2">
        <v>0.25032700000000002</v>
      </c>
      <c r="B5" s="2">
        <f t="shared" si="2"/>
        <v>0.25032700000000002</v>
      </c>
      <c r="D5" t="s">
        <v>1</v>
      </c>
      <c r="E5" t="s">
        <v>2</v>
      </c>
      <c r="F5" t="s">
        <v>6</v>
      </c>
      <c r="G5" t="s">
        <v>4</v>
      </c>
      <c r="H5" t="str">
        <f t="shared" si="3"/>
        <v>0.250327;</v>
      </c>
      <c r="I5" t="str">
        <f t="shared" si="4"/>
        <v>0.250327,</v>
      </c>
      <c r="J5" s="5" t="str">
        <f t="shared" si="0"/>
        <v>parameter SI.MassConcentration X_fa_start = 0.250327;</v>
      </c>
      <c r="L5" t="str">
        <f t="shared" si="1"/>
        <v>X_fa_start = 0.250327,</v>
      </c>
      <c r="P5" s="5" t="str">
        <f t="shared" si="5"/>
        <v>X_fa_start = 0.250327,</v>
      </c>
      <c r="R5" s="13" t="str">
        <f t="shared" si="6"/>
        <v>digester.X_fa_start = 0.250327,</v>
      </c>
      <c r="T5" t="str">
        <f t="shared" si="7"/>
        <v>uit.digester.X_fa_start = 0.250327,</v>
      </c>
      <c r="V5" t="s">
        <v>356</v>
      </c>
      <c r="W5" t="str">
        <f t="shared" si="8"/>
        <v>xfa=0.250327,</v>
      </c>
    </row>
    <row r="6" spans="1:23" x14ac:dyDescent="0.3">
      <c r="A6" s="2">
        <v>0.346775</v>
      </c>
      <c r="B6" s="2">
        <f t="shared" si="2"/>
        <v>0.346775</v>
      </c>
      <c r="D6" t="s">
        <v>1</v>
      </c>
      <c r="E6" t="s">
        <v>2</v>
      </c>
      <c r="F6" t="s">
        <v>7</v>
      </c>
      <c r="G6" t="s">
        <v>4</v>
      </c>
      <c r="H6" t="str">
        <f t="shared" si="3"/>
        <v>0.346775;</v>
      </c>
      <c r="I6" t="str">
        <f t="shared" si="4"/>
        <v>0.346775,</v>
      </c>
      <c r="J6" s="5" t="str">
        <f t="shared" si="0"/>
        <v>parameter SI.MassConcentration X_c4_start = 0.346775;</v>
      </c>
      <c r="L6" t="str">
        <f t="shared" si="1"/>
        <v>X_c4_start = 0.346775,</v>
      </c>
      <c r="P6" s="5" t="str">
        <f t="shared" si="5"/>
        <v>X_c4_start = 0.346775,</v>
      </c>
      <c r="R6" s="13" t="str">
        <f t="shared" si="6"/>
        <v>digester.X_c4_start = 0.346775,</v>
      </c>
      <c r="T6" t="str">
        <f t="shared" si="7"/>
        <v>uit.digester.X_c4_start = 0.346775,</v>
      </c>
      <c r="V6" t="s">
        <v>351</v>
      </c>
      <c r="W6" t="str">
        <f t="shared" si="8"/>
        <v>xc4=0.346775,</v>
      </c>
    </row>
    <row r="7" spans="1:23" x14ac:dyDescent="0.3">
      <c r="A7" s="2">
        <v>0.24557300000000001</v>
      </c>
      <c r="B7" s="2">
        <f t="shared" si="2"/>
        <v>0.24557300000000001</v>
      </c>
      <c r="D7" t="s">
        <v>1</v>
      </c>
      <c r="E7" t="s">
        <v>2</v>
      </c>
      <c r="F7" t="s">
        <v>8</v>
      </c>
      <c r="G7" t="s">
        <v>4</v>
      </c>
      <c r="H7" t="str">
        <f t="shared" si="3"/>
        <v>0.245573;</v>
      </c>
      <c r="I7" t="str">
        <f t="shared" si="4"/>
        <v>0.245573,</v>
      </c>
      <c r="J7" s="5" t="str">
        <f t="shared" si="0"/>
        <v>parameter SI.MassConcentration X_pro_start = 0.245573;</v>
      </c>
      <c r="L7" t="str">
        <f t="shared" si="1"/>
        <v>X_pro_start = 0.245573,</v>
      </c>
      <c r="P7" s="5" t="str">
        <f t="shared" si="5"/>
        <v>X_pro_start = 0.245573,</v>
      </c>
      <c r="R7" s="13" t="str">
        <f t="shared" si="6"/>
        <v>digester.X_pro_start = 0.245573,</v>
      </c>
      <c r="T7" t="str">
        <f t="shared" si="7"/>
        <v>uit.digester.X_pro_start = 0.245573,</v>
      </c>
      <c r="V7" t="s">
        <v>368</v>
      </c>
      <c r="W7" t="str">
        <f t="shared" si="8"/>
        <v>xpro=0.245573,</v>
      </c>
    </row>
    <row r="8" spans="1:23" x14ac:dyDescent="0.3">
      <c r="A8" s="2">
        <v>0.91590300000000002</v>
      </c>
      <c r="B8" s="2">
        <f t="shared" si="2"/>
        <v>0.91590300000000002</v>
      </c>
      <c r="D8" t="s">
        <v>1</v>
      </c>
      <c r="E8" t="s">
        <v>2</v>
      </c>
      <c r="F8" t="s">
        <v>9</v>
      </c>
      <c r="G8" t="s">
        <v>4</v>
      </c>
      <c r="H8" t="str">
        <f t="shared" si="3"/>
        <v>0.915903;</v>
      </c>
      <c r="I8" t="str">
        <f t="shared" si="4"/>
        <v>0.915903,</v>
      </c>
      <c r="J8" s="5" t="str">
        <f t="shared" si="0"/>
        <v>parameter SI.MassConcentration X_ac_start = 0.915903;</v>
      </c>
      <c r="L8" t="str">
        <f t="shared" si="1"/>
        <v>X_ac_start = 0.915903,</v>
      </c>
      <c r="P8" s="5" t="str">
        <f t="shared" si="5"/>
        <v>X_ac_start = 0.915903,</v>
      </c>
      <c r="R8" s="13" t="str">
        <f t="shared" si="6"/>
        <v>digester.X_ac_start = 0.915903,</v>
      </c>
      <c r="T8" t="str">
        <f t="shared" si="7"/>
        <v>uit.digester.X_ac_start = 0.915903,</v>
      </c>
      <c r="V8" t="s">
        <v>342</v>
      </c>
      <c r="W8" t="str">
        <f t="shared" si="8"/>
        <v>xac=0.915903,</v>
      </c>
    </row>
    <row r="9" spans="1:23" x14ac:dyDescent="0.3">
      <c r="A9" s="2">
        <v>0.45957199999999998</v>
      </c>
      <c r="B9" s="2">
        <f t="shared" si="2"/>
        <v>0.45957199999999998</v>
      </c>
      <c r="D9" t="s">
        <v>1</v>
      </c>
      <c r="E9" t="s">
        <v>2</v>
      </c>
      <c r="F9" t="s">
        <v>10</v>
      </c>
      <c r="G9" t="s">
        <v>4</v>
      </c>
      <c r="H9" t="str">
        <f t="shared" si="3"/>
        <v>0.459572;</v>
      </c>
      <c r="I9" t="str">
        <f t="shared" si="4"/>
        <v>0.459572,</v>
      </c>
      <c r="J9" s="5" t="str">
        <f t="shared" si="0"/>
        <v>parameter SI.MassConcentration X_h2_start = 0.459572;</v>
      </c>
      <c r="L9" t="str">
        <f t="shared" si="1"/>
        <v>X_h2_start = 0.459572,</v>
      </c>
      <c r="P9" s="5" t="str">
        <f t="shared" si="5"/>
        <v>X_h2_start = 0.459572,</v>
      </c>
      <c r="R9" s="13" t="str">
        <f t="shared" si="6"/>
        <v>digester.X_h2_start = 0.459572,</v>
      </c>
      <c r="T9" t="str">
        <f t="shared" si="7"/>
        <v>uit.digester.X_h2_start = 0.459572,</v>
      </c>
      <c r="V9" t="s">
        <v>357</v>
      </c>
      <c r="W9" t="str">
        <f t="shared" si="8"/>
        <v>xh2=0.459572,</v>
      </c>
    </row>
    <row r="10" spans="1:23" x14ac:dyDescent="0.3">
      <c r="A10" s="2">
        <v>1E-10</v>
      </c>
      <c r="B10" s="2"/>
      <c r="D10" t="s">
        <v>11</v>
      </c>
      <c r="E10" t="s">
        <v>12</v>
      </c>
      <c r="I10" t="str">
        <f t="shared" si="4"/>
        <v/>
      </c>
      <c r="J10" s="5" t="str">
        <f t="shared" si="0"/>
        <v xml:space="preserve">//Particulate substrate   </v>
      </c>
      <c r="P10" s="5" t="str">
        <f t="shared" ref="P10:P15" si="9">L11</f>
        <v>X_c_start = 0.0000000001,</v>
      </c>
      <c r="R10" s="13" t="str">
        <f t="shared" si="6"/>
        <v>digester.X_c_start = 0.0000000001,</v>
      </c>
      <c r="T10" t="str">
        <f t="shared" si="7"/>
        <v>uit.digester.X_c_start = 0.0000000001,</v>
      </c>
      <c r="V10" t="s">
        <v>350</v>
      </c>
      <c r="W10" t="str">
        <f t="shared" si="8"/>
        <v>xc=0.0000000001,</v>
      </c>
    </row>
    <row r="11" spans="1:23" x14ac:dyDescent="0.3">
      <c r="A11" s="2">
        <v>25.5154</v>
      </c>
      <c r="B11" s="2">
        <f>A10</f>
        <v>1E-10</v>
      </c>
      <c r="D11" t="s">
        <v>1</v>
      </c>
      <c r="E11" t="s">
        <v>2</v>
      </c>
      <c r="F11" t="s">
        <v>13</v>
      </c>
      <c r="G11" t="s">
        <v>4</v>
      </c>
      <c r="H11" t="str">
        <f t="shared" si="3"/>
        <v>0.0000000001;</v>
      </c>
      <c r="I11" t="str">
        <f t="shared" si="4"/>
        <v>0.0000000001,</v>
      </c>
      <c r="J11" s="5" t="str">
        <f t="shared" si="0"/>
        <v>parameter SI.MassConcentration X_c_start = 0.0000000001;</v>
      </c>
      <c r="L11" t="str">
        <f>SUBSTITUTE(_xlfn.CONCAT(F11," ",G11," ",H11),";",",")</f>
        <v>X_c_start = 0.0000000001,</v>
      </c>
      <c r="P11" s="5" t="str">
        <f t="shared" si="9"/>
        <v>X_i_start = 25.5154,</v>
      </c>
      <c r="R11" s="13" t="str">
        <f t="shared" si="6"/>
        <v>digester.X_i_start = 25.5154,</v>
      </c>
      <c r="T11" t="str">
        <f t="shared" si="7"/>
        <v>uit.digester.X_i_start = 25.5154,</v>
      </c>
      <c r="V11" t="s">
        <v>361</v>
      </c>
      <c r="W11" t="str">
        <f t="shared" si="8"/>
        <v>xi=25.5154,</v>
      </c>
    </row>
    <row r="12" spans="1:23" x14ac:dyDescent="0.3">
      <c r="A12" s="2">
        <v>0.71099400000000001</v>
      </c>
      <c r="B12" s="2">
        <f t="shared" ref="B12:B27" si="10">A11</f>
        <v>25.5154</v>
      </c>
      <c r="D12" t="s">
        <v>1</v>
      </c>
      <c r="E12" t="s">
        <v>2</v>
      </c>
      <c r="F12" t="s">
        <v>14</v>
      </c>
      <c r="G12" t="s">
        <v>4</v>
      </c>
      <c r="H12" t="str">
        <f t="shared" si="3"/>
        <v>25.5154;</v>
      </c>
      <c r="I12" t="str">
        <f t="shared" si="4"/>
        <v>25.5154,</v>
      </c>
      <c r="J12" s="5" t="str">
        <f t="shared" si="0"/>
        <v>parameter SI.MassConcentration X_i_start = 25.5154;</v>
      </c>
      <c r="L12" t="str">
        <f>SUBSTITUTE(_xlfn.CONCAT(F12," ",G12," ",H12),";",",")</f>
        <v>X_i_start = 25.5154,</v>
      </c>
      <c r="P12" s="5" t="str">
        <f t="shared" si="9"/>
        <v>X_ch_start = {0.710994,0.706615,3.69156},</v>
      </c>
      <c r="R12" s="13" t="str">
        <f t="shared" si="6"/>
        <v>digester.X_ch_start = {0.710994,0.706615,3.69156},</v>
      </c>
      <c r="T12" t="str">
        <f t="shared" si="7"/>
        <v>uit.digester.X_ch_start = {0.710994,0.706615,3.69156},</v>
      </c>
      <c r="V12" t="s">
        <v>353</v>
      </c>
      <c r="W12" t="str">
        <f t="shared" si="8"/>
        <v>xchr=0.710994,</v>
      </c>
    </row>
    <row r="13" spans="1:23" x14ac:dyDescent="0.3">
      <c r="A13" s="2">
        <v>0.70661499999999999</v>
      </c>
      <c r="B13" s="2">
        <f t="shared" si="10"/>
        <v>0.71099400000000001</v>
      </c>
      <c r="D13" t="s">
        <v>1</v>
      </c>
      <c r="E13" t="s">
        <v>2</v>
      </c>
      <c r="F13" t="s">
        <v>15</v>
      </c>
      <c r="G13" t="s">
        <v>4</v>
      </c>
      <c r="H13" t="str">
        <f>_xlfn.CONCAT("{",B13,",",B14,",",B15,"}",";")</f>
        <v>{0.710994,0.706615,3.69156};</v>
      </c>
      <c r="I13" t="str">
        <f t="shared" si="4"/>
        <v>{0.710994,0.706615,3.69156},</v>
      </c>
      <c r="J13" s="5" t="str">
        <f t="shared" si="0"/>
        <v>parameter SI.MassConcentration X_ch_start[3] = {0.710994,0.706615,3.69156};</v>
      </c>
      <c r="L13" t="str">
        <f>SUBSTITUTE(SUBSTITUTE(_xlfn.CONCAT(F13," ",G13," ",H13),";",","),"[3]","")</f>
        <v>X_ch_start = {0.710994,0.706615,3.69156},</v>
      </c>
      <c r="P13" s="5" t="str">
        <f t="shared" si="9"/>
        <v>X_pr_start = {0.170775,0.688268},</v>
      </c>
      <c r="R13" s="13" t="str">
        <f t="shared" si="6"/>
        <v>digester.X_pr_start = {0.170775,0.688268},</v>
      </c>
      <c r="T13" t="str">
        <f t="shared" si="7"/>
        <v>uit.digester.X_pr_start = {0.170775,0.688268},</v>
      </c>
      <c r="V13" t="s">
        <v>354</v>
      </c>
      <c r="W13" t="str">
        <f t="shared" si="8"/>
        <v>xchm=0.706615,</v>
      </c>
    </row>
    <row r="14" spans="1:23" x14ac:dyDescent="0.3">
      <c r="A14" s="2">
        <v>3.69156</v>
      </c>
      <c r="B14" s="2">
        <f t="shared" si="10"/>
        <v>0.70661499999999999</v>
      </c>
      <c r="D14" t="s">
        <v>1</v>
      </c>
      <c r="E14" t="s">
        <v>2</v>
      </c>
      <c r="F14" t="s">
        <v>16</v>
      </c>
      <c r="G14" t="s">
        <v>4</v>
      </c>
      <c r="H14" t="str">
        <f>_xlfn.CONCAT("{",B16,",",B17,"}",";")</f>
        <v>{0.170775,0.688268};</v>
      </c>
      <c r="I14" t="str">
        <f t="shared" si="4"/>
        <v>{0.170775,0.688268},</v>
      </c>
      <c r="J14" s="5" t="str">
        <f t="shared" si="0"/>
        <v>parameter SI.MassConcentration X_pr_start[2] = {0.170775,0.688268};</v>
      </c>
      <c r="L14" t="str">
        <f>SUBSTITUTE(SUBSTITUTE(_xlfn.CONCAT(F14," ",G14," ",H14),";",","),"[2]","")</f>
        <v>X_pr_start = {0.170775,0.688268},</v>
      </c>
      <c r="P14" s="5" t="str">
        <f t="shared" si="9"/>
        <v>X_li_start = 0.71866,</v>
      </c>
      <c r="R14" s="13" t="str">
        <f t="shared" si="6"/>
        <v>digester.X_li_start = 0.71866,</v>
      </c>
      <c r="T14" t="str">
        <f t="shared" si="7"/>
        <v>uit.digester.X_li_start = 0.71866,</v>
      </c>
      <c r="V14" t="s">
        <v>355</v>
      </c>
      <c r="W14" t="str">
        <f t="shared" si="8"/>
        <v>xchs=3.69156,</v>
      </c>
    </row>
    <row r="15" spans="1:23" x14ac:dyDescent="0.3">
      <c r="A15" s="2">
        <v>0.17077500000000001</v>
      </c>
      <c r="B15" s="2">
        <f t="shared" si="10"/>
        <v>3.69156</v>
      </c>
      <c r="D15" t="s">
        <v>1</v>
      </c>
      <c r="E15" t="s">
        <v>2</v>
      </c>
      <c r="F15" t="s">
        <v>17</v>
      </c>
      <c r="G15" t="s">
        <v>4</v>
      </c>
      <c r="H15" t="str">
        <f>_xlfn.CONCAT(B18,";")</f>
        <v>0.71866;</v>
      </c>
      <c r="I15" t="str">
        <f t="shared" si="4"/>
        <v>0.71866,</v>
      </c>
      <c r="J15" s="5" t="str">
        <f t="shared" si="0"/>
        <v>parameter SI.MassConcentration X_li_start = 0.71866;</v>
      </c>
      <c r="L15" t="str">
        <f>SUBSTITUTE(_xlfn.CONCAT(F15," ",G15," ",H15),";",",")</f>
        <v>X_li_start = 0.71866,</v>
      </c>
      <c r="P15" s="5" t="str">
        <f t="shared" si="9"/>
        <v>X_p_start = 0.352134,</v>
      </c>
      <c r="R15" s="13" t="str">
        <f t="shared" si="6"/>
        <v>digester.X_p_start = 0.352134,</v>
      </c>
      <c r="T15" t="str">
        <f t="shared" si="7"/>
        <v>uit.digester.X_p_start = 0.352134,</v>
      </c>
      <c r="V15" t="s">
        <v>366</v>
      </c>
      <c r="W15" t="str">
        <f t="shared" si="8"/>
        <v>xprr=0.170775,</v>
      </c>
    </row>
    <row r="16" spans="1:23" x14ac:dyDescent="0.3">
      <c r="A16" s="2">
        <v>0.68826799999999999</v>
      </c>
      <c r="B16" s="2">
        <f t="shared" si="10"/>
        <v>0.17077500000000001</v>
      </c>
      <c r="D16" t="s">
        <v>1</v>
      </c>
      <c r="E16" t="s">
        <v>2</v>
      </c>
      <c r="F16" t="s">
        <v>18</v>
      </c>
      <c r="G16" t="s">
        <v>4</v>
      </c>
      <c r="H16" t="str">
        <f>_xlfn.CONCAT(B19,";")</f>
        <v>0.352134;</v>
      </c>
      <c r="I16" t="str">
        <f t="shared" si="4"/>
        <v>0.352134,</v>
      </c>
      <c r="J16" s="5" t="str">
        <f t="shared" si="0"/>
        <v>parameter SI.MassConcentration X_p_start = 0.352134;</v>
      </c>
      <c r="L16" t="str">
        <f>SUBSTITUTE(_xlfn.CONCAT(F16," ",G16," ",H16),";",",")</f>
        <v>X_p_start = 0.352134,</v>
      </c>
      <c r="P16" s="5" t="str">
        <f t="shared" ref="P16:P23" si="11">L20</f>
        <v>S_i_start = 0.0880335,</v>
      </c>
      <c r="R16" s="13" t="str">
        <f t="shared" si="6"/>
        <v>digester.S_i_start = 0.0880335,</v>
      </c>
      <c r="T16" t="str">
        <f t="shared" si="7"/>
        <v>uit.digester.S_i_start = 0.0880335,</v>
      </c>
      <c r="V16" t="s">
        <v>367</v>
      </c>
      <c r="W16" t="str">
        <f t="shared" si="8"/>
        <v>xprs=0.688268,</v>
      </c>
    </row>
    <row r="17" spans="1:23" x14ac:dyDescent="0.3">
      <c r="A17" s="2">
        <v>0.71865999999999997</v>
      </c>
      <c r="B17" s="2">
        <f t="shared" si="10"/>
        <v>0.68826799999999999</v>
      </c>
      <c r="D17" t="s">
        <v>19</v>
      </c>
      <c r="I17" t="str">
        <f t="shared" si="4"/>
        <v/>
      </c>
      <c r="J17" s="5" t="str">
        <f t="shared" si="0"/>
        <v xml:space="preserve">//    </v>
      </c>
      <c r="P17" s="5" t="str">
        <f t="shared" si="11"/>
        <v>S_su_start = 0.0109396,</v>
      </c>
      <c r="R17" s="13" t="str">
        <f t="shared" si="6"/>
        <v>digester.S_su_start = 0.0109396,</v>
      </c>
      <c r="T17" t="str">
        <f t="shared" si="7"/>
        <v>uit.digester.S_su_start = 0.0109396,</v>
      </c>
      <c r="V17" t="s">
        <v>362</v>
      </c>
      <c r="W17" t="str">
        <f t="shared" si="8"/>
        <v>xli=0.71866,</v>
      </c>
    </row>
    <row r="18" spans="1:23" x14ac:dyDescent="0.3">
      <c r="A18" s="2">
        <v>0.352134</v>
      </c>
      <c r="B18" s="2">
        <f t="shared" si="10"/>
        <v>0.71865999999999997</v>
      </c>
      <c r="D18" t="s">
        <v>19</v>
      </c>
      <c r="I18" t="str">
        <f t="shared" si="4"/>
        <v/>
      </c>
      <c r="J18" s="5" t="str">
        <f t="shared" si="0"/>
        <v xml:space="preserve">//    </v>
      </c>
      <c r="P18" s="5" t="str">
        <f t="shared" si="11"/>
        <v>S_aa_start = 0.00482747,</v>
      </c>
      <c r="R18" s="13" t="str">
        <f t="shared" si="6"/>
        <v>digester.S_aa_start = 0.00482747,</v>
      </c>
      <c r="T18" t="str">
        <f t="shared" si="7"/>
        <v>uit.digester.S_aa_start = 0.00482747,</v>
      </c>
      <c r="V18" t="s">
        <v>365</v>
      </c>
      <c r="W18" t="str">
        <f t="shared" si="8"/>
        <v>xp=0.352134,</v>
      </c>
    </row>
    <row r="19" spans="1:23" x14ac:dyDescent="0.3">
      <c r="A19" s="2">
        <v>8.8033500000000001E-2</v>
      </c>
      <c r="B19" s="2">
        <f t="shared" si="10"/>
        <v>0.352134</v>
      </c>
      <c r="D19" t="s">
        <v>20</v>
      </c>
      <c r="E19" t="s">
        <v>12</v>
      </c>
      <c r="I19" t="str">
        <f t="shared" si="4"/>
        <v/>
      </c>
      <c r="J19" s="5" t="str">
        <f t="shared" si="0"/>
        <v xml:space="preserve">//Soluble substrate   </v>
      </c>
      <c r="P19" s="5" t="str">
        <f t="shared" si="11"/>
        <v>S_fa_start = 0.0561094,</v>
      </c>
      <c r="R19" s="13" t="str">
        <f t="shared" si="6"/>
        <v>digester.S_fa_start = 0.0561094,</v>
      </c>
      <c r="T19" t="str">
        <f t="shared" si="7"/>
        <v>uit.digester.S_fa_start = 0.0561094,</v>
      </c>
      <c r="V19" t="s">
        <v>333</v>
      </c>
      <c r="W19" t="str">
        <f t="shared" si="8"/>
        <v>si=0.0880335,</v>
      </c>
    </row>
    <row r="20" spans="1:23" x14ac:dyDescent="0.3">
      <c r="A20" s="2">
        <v>1.0939600000000001E-2</v>
      </c>
      <c r="B20" s="2">
        <f t="shared" si="10"/>
        <v>8.8033500000000001E-2</v>
      </c>
      <c r="D20" t="s">
        <v>1</v>
      </c>
      <c r="E20" t="s">
        <v>2</v>
      </c>
      <c r="F20" t="s">
        <v>21</v>
      </c>
      <c r="G20" t="s">
        <v>4</v>
      </c>
      <c r="H20" t="str">
        <f>_xlfn.CONCAT(B20,";")</f>
        <v>0.0880335;</v>
      </c>
      <c r="I20" t="str">
        <f t="shared" si="4"/>
        <v>0.0880335,</v>
      </c>
      <c r="J20" s="5" t="str">
        <f t="shared" si="0"/>
        <v>parameter SI.MassConcentration S_i_start = 0.0880335;</v>
      </c>
      <c r="L20" t="str">
        <f t="shared" ref="L20:L27" si="12">SUBSTITUTE(_xlfn.CONCAT(F20," ",G20," ",H20),";",",")</f>
        <v>S_i_start = 0.0880335,</v>
      </c>
      <c r="P20" s="5" t="str">
        <f t="shared" si="11"/>
        <v>S_va_start = 0.00660786,</v>
      </c>
      <c r="R20" s="13" t="str">
        <f t="shared" si="6"/>
        <v>digester.S_va_start = 0.00660786,</v>
      </c>
      <c r="T20" t="str">
        <f t="shared" si="7"/>
        <v>uit.digester.S_va_start = 0.00660786,</v>
      </c>
      <c r="V20" t="s">
        <v>447</v>
      </c>
      <c r="W20" t="str">
        <f t="shared" si="8"/>
        <v>ssu=0.0109396,</v>
      </c>
    </row>
    <row r="21" spans="1:23" x14ac:dyDescent="0.3">
      <c r="A21" s="2">
        <v>4.8274700000000004E-3</v>
      </c>
      <c r="B21" s="2">
        <f t="shared" si="10"/>
        <v>1.0939600000000001E-2</v>
      </c>
      <c r="D21" t="s">
        <v>1</v>
      </c>
      <c r="E21" t="s">
        <v>2</v>
      </c>
      <c r="F21" t="s">
        <v>22</v>
      </c>
      <c r="G21" t="s">
        <v>4</v>
      </c>
      <c r="H21" t="str">
        <f t="shared" ref="H21:H51" si="13">_xlfn.CONCAT(B21,";")</f>
        <v>0.0109396;</v>
      </c>
      <c r="I21" t="str">
        <f t="shared" si="4"/>
        <v>0.0109396,</v>
      </c>
      <c r="J21" s="5" t="str">
        <f t="shared" si="0"/>
        <v>parameter SI.MassConcentration S_su_start = 0.0109396;</v>
      </c>
      <c r="L21" t="str">
        <f t="shared" si="12"/>
        <v>S_su_start = 0.0109396,</v>
      </c>
      <c r="P21" s="5" t="str">
        <f t="shared" si="11"/>
        <v>S_bu_start = 0.0114081,</v>
      </c>
      <c r="R21" s="13" t="str">
        <f t="shared" si="6"/>
        <v>digester.S_bu_start = 0.0114081,</v>
      </c>
      <c r="T21" t="str">
        <f t="shared" si="7"/>
        <v>uit.digester.S_bu_start = 0.0114081,</v>
      </c>
      <c r="V21" t="s">
        <v>448</v>
      </c>
      <c r="W21" t="str">
        <f t="shared" si="8"/>
        <v>saa=0.00482747,</v>
      </c>
    </row>
    <row r="22" spans="1:23" x14ac:dyDescent="0.3">
      <c r="A22" s="2">
        <v>5.6109399999999997E-2</v>
      </c>
      <c r="B22" s="2">
        <f t="shared" si="10"/>
        <v>4.8274700000000004E-3</v>
      </c>
      <c r="D22" t="s">
        <v>1</v>
      </c>
      <c r="E22" t="s">
        <v>2</v>
      </c>
      <c r="F22" t="s">
        <v>23</v>
      </c>
      <c r="G22" t="s">
        <v>4</v>
      </c>
      <c r="H22" t="str">
        <f t="shared" si="13"/>
        <v>0.00482747;</v>
      </c>
      <c r="I22" t="str">
        <f t="shared" si="4"/>
        <v>0.00482747,</v>
      </c>
      <c r="J22" s="5" t="str">
        <f t="shared" si="0"/>
        <v>parameter SI.MassConcentration S_aa_start = 0.00482747;</v>
      </c>
      <c r="L22" t="str">
        <f t="shared" si="12"/>
        <v>S_aa_start = 0.00482747,</v>
      </c>
      <c r="P22" s="5" t="str">
        <f t="shared" si="11"/>
        <v>S_pro_start = 0.057238,</v>
      </c>
      <c r="R22" s="13" t="str">
        <f t="shared" si="6"/>
        <v>digester.S_pro_start = 0.057238,</v>
      </c>
      <c r="T22" t="str">
        <f t="shared" si="7"/>
        <v>uit.digester.S_pro_start = 0.057238,</v>
      </c>
      <c r="V22" t="s">
        <v>449</v>
      </c>
      <c r="W22" t="str">
        <f t="shared" si="8"/>
        <v>sfa=0.0561094,</v>
      </c>
    </row>
    <row r="23" spans="1:23" x14ac:dyDescent="0.3">
      <c r="A23" s="2">
        <v>6.6078600000000001E-3</v>
      </c>
      <c r="B23" s="2">
        <f t="shared" si="10"/>
        <v>5.6109399999999997E-2</v>
      </c>
      <c r="D23" t="s">
        <v>1</v>
      </c>
      <c r="E23" t="s">
        <v>2</v>
      </c>
      <c r="F23" t="s">
        <v>24</v>
      </c>
      <c r="G23" t="s">
        <v>4</v>
      </c>
      <c r="H23" t="str">
        <f t="shared" si="13"/>
        <v>0.0561094;</v>
      </c>
      <c r="I23" t="str">
        <f t="shared" si="4"/>
        <v>0.0561094,</v>
      </c>
      <c r="J23" s="5" t="str">
        <f t="shared" si="0"/>
        <v>parameter SI.MassConcentration S_fa_start = 0.0561094;</v>
      </c>
      <c r="L23" t="str">
        <f t="shared" si="12"/>
        <v>S_fa_start = 0.0561094,</v>
      </c>
      <c r="P23" s="5" t="str">
        <f t="shared" si="11"/>
        <v>S_ac_start = 0.598492,</v>
      </c>
      <c r="R23" s="13" t="str">
        <f t="shared" si="6"/>
        <v>digester.S_ac_start = 0.598492,</v>
      </c>
      <c r="T23" t="str">
        <f t="shared" si="7"/>
        <v>uit.digester.S_ac_start = 0.598492,</v>
      </c>
      <c r="V23" t="s">
        <v>450</v>
      </c>
      <c r="W23" t="str">
        <f t="shared" si="8"/>
        <v>sva=0.00660786,</v>
      </c>
    </row>
    <row r="24" spans="1:23" x14ac:dyDescent="0.3">
      <c r="A24" s="2">
        <v>1.1408099999999999E-2</v>
      </c>
      <c r="B24" s="2">
        <f t="shared" si="10"/>
        <v>6.6078600000000001E-3</v>
      </c>
      <c r="D24" t="s">
        <v>1</v>
      </c>
      <c r="E24" t="s">
        <v>2</v>
      </c>
      <c r="F24" t="s">
        <v>25</v>
      </c>
      <c r="G24" t="s">
        <v>4</v>
      </c>
      <c r="H24" t="str">
        <f t="shared" si="13"/>
        <v>0.00660786;</v>
      </c>
      <c r="I24" t="str">
        <f t="shared" si="4"/>
        <v>0.00660786,</v>
      </c>
      <c r="J24" s="5" t="str">
        <f t="shared" si="0"/>
        <v>parameter SI.MassConcentration S_va_start = 0.00660786;</v>
      </c>
      <c r="L24" t="str">
        <f t="shared" si="12"/>
        <v>S_va_start = 0.00660786,</v>
      </c>
      <c r="P24" s="5" t="str">
        <f>L29</f>
        <v>S_h2_start = 0.000000749657,</v>
      </c>
      <c r="R24" s="13" t="str">
        <f t="shared" si="6"/>
        <v>digester.S_h2_start = 0.000000749657,</v>
      </c>
      <c r="T24" t="str">
        <f t="shared" si="7"/>
        <v>uit.digester.S_h2_start = 0.000000749657,</v>
      </c>
      <c r="V24" t="s">
        <v>451</v>
      </c>
      <c r="W24" t="str">
        <f t="shared" si="8"/>
        <v>sbu=0.0114081,</v>
      </c>
    </row>
    <row r="25" spans="1:23" x14ac:dyDescent="0.3">
      <c r="A25" s="2">
        <v>5.7237999999999997E-2</v>
      </c>
      <c r="B25" s="2">
        <f t="shared" si="10"/>
        <v>1.1408099999999999E-2</v>
      </c>
      <c r="D25" t="s">
        <v>1</v>
      </c>
      <c r="E25" t="s">
        <v>2</v>
      </c>
      <c r="F25" t="s">
        <v>26</v>
      </c>
      <c r="G25" t="s">
        <v>4</v>
      </c>
      <c r="H25" t="str">
        <f t="shared" si="13"/>
        <v>0.0114081;</v>
      </c>
      <c r="I25" t="str">
        <f t="shared" si="4"/>
        <v>0.0114081,</v>
      </c>
      <c r="J25" s="5" t="str">
        <f t="shared" si="0"/>
        <v>parameter SI.MassConcentration S_bu_start = 0.0114081;</v>
      </c>
      <c r="L25" t="str">
        <f t="shared" si="12"/>
        <v>S_bu_start = 0.0114081,</v>
      </c>
      <c r="P25" s="5" t="str">
        <f>L30</f>
        <v>S_ch4_start = 0.241225,</v>
      </c>
      <c r="R25" s="13" t="str">
        <f t="shared" si="6"/>
        <v>digester.S_ch4_start = 0.241225,</v>
      </c>
      <c r="T25" t="str">
        <f t="shared" si="7"/>
        <v>uit.digester.S_ch4_start = 0.241225,</v>
      </c>
      <c r="V25" t="s">
        <v>452</v>
      </c>
      <c r="W25" t="str">
        <f t="shared" si="8"/>
        <v>spro=0.057238,</v>
      </c>
    </row>
    <row r="26" spans="1:23" x14ac:dyDescent="0.3">
      <c r="A26" s="2">
        <v>0.59849200000000002</v>
      </c>
      <c r="B26" s="2">
        <f t="shared" si="10"/>
        <v>5.7237999999999997E-2</v>
      </c>
      <c r="D26" t="s">
        <v>1</v>
      </c>
      <c r="E26" t="s">
        <v>2</v>
      </c>
      <c r="F26" t="s">
        <v>27</v>
      </c>
      <c r="G26" t="s">
        <v>4</v>
      </c>
      <c r="H26" t="str">
        <f t="shared" si="13"/>
        <v>0.057238;</v>
      </c>
      <c r="I26" t="str">
        <f t="shared" si="4"/>
        <v>0.057238,</v>
      </c>
      <c r="J26" s="5" t="str">
        <f t="shared" si="0"/>
        <v>parameter SI.MassConcentration S_pro_start = 0.057238;</v>
      </c>
      <c r="L26" t="str">
        <f t="shared" si="12"/>
        <v>S_pro_start = 0.057238,</v>
      </c>
      <c r="P26" s="5" t="str">
        <f t="shared" ref="P26:P34" si="14">L32</f>
        <v>S_ic_start = 0.172827,</v>
      </c>
      <c r="R26" s="13" t="str">
        <f t="shared" si="6"/>
        <v>digester.S_ic_start = 0.172827,</v>
      </c>
      <c r="T26" t="str">
        <f t="shared" si="7"/>
        <v>uit.digester.S_ic_start = 0.172827,</v>
      </c>
      <c r="V26" t="s">
        <v>453</v>
      </c>
      <c r="W26" t="str">
        <f t="shared" si="8"/>
        <v>sac=0.598492,</v>
      </c>
    </row>
    <row r="27" spans="1:23" x14ac:dyDescent="0.3">
      <c r="A27" s="2">
        <v>7.4965699999999997E-7</v>
      </c>
      <c r="B27" s="2">
        <f t="shared" si="10"/>
        <v>0.59849200000000002</v>
      </c>
      <c r="D27" t="s">
        <v>1</v>
      </c>
      <c r="E27" t="s">
        <v>2</v>
      </c>
      <c r="F27" t="s">
        <v>28</v>
      </c>
      <c r="G27" t="s">
        <v>4</v>
      </c>
      <c r="H27" t="str">
        <f t="shared" si="13"/>
        <v>0.598492;</v>
      </c>
      <c r="I27" t="str">
        <f t="shared" si="4"/>
        <v>0.598492,</v>
      </c>
      <c r="J27" s="5" t="str">
        <f t="shared" si="0"/>
        <v>parameter SI.MassConcentration S_ac_start = 0.598492;</v>
      </c>
      <c r="L27" t="str">
        <f t="shared" si="12"/>
        <v>S_ac_start = 0.598492,</v>
      </c>
      <c r="P27" s="5" t="str">
        <f t="shared" si="14"/>
        <v>S_in_start = 0.0798529,</v>
      </c>
      <c r="R27" s="13" t="str">
        <f t="shared" si="6"/>
        <v>digester.S_in_start = 0.0798529,</v>
      </c>
      <c r="T27" t="str">
        <f t="shared" si="7"/>
        <v>uit.digester.S_in_start = 0.0798529,</v>
      </c>
      <c r="V27" t="s">
        <v>454</v>
      </c>
      <c r="W27" t="str">
        <f t="shared" si="8"/>
        <v>sh2=0.000000749657,</v>
      </c>
    </row>
    <row r="28" spans="1:23" x14ac:dyDescent="0.3">
      <c r="A28" s="2">
        <v>0.24122499999999999</v>
      </c>
      <c r="B28" s="2" t="s">
        <v>46</v>
      </c>
      <c r="D28" t="s">
        <v>29</v>
      </c>
      <c r="E28" t="s">
        <v>30</v>
      </c>
      <c r="F28" t="s">
        <v>31</v>
      </c>
      <c r="I28" t="str">
        <f t="shared" si="4"/>
        <v/>
      </c>
      <c r="J28" s="5" t="str">
        <f t="shared" si="0"/>
        <v xml:space="preserve">//Inorganic soluble components  </v>
      </c>
      <c r="P28" s="5" t="str">
        <f t="shared" si="14"/>
        <v>S_ip_start = 0.00397603,</v>
      </c>
      <c r="R28" s="13" t="str">
        <f t="shared" si="6"/>
        <v>digester.S_ip_start = 0.00397603,</v>
      </c>
      <c r="T28" t="str">
        <f t="shared" si="7"/>
        <v>uit.digester.S_ip_start = 0.00397603,</v>
      </c>
      <c r="V28" t="s">
        <v>455</v>
      </c>
      <c r="W28" t="str">
        <f t="shared" si="8"/>
        <v>sch4=0.241225,</v>
      </c>
    </row>
    <row r="29" spans="1:23" x14ac:dyDescent="0.3">
      <c r="A29" s="2">
        <v>0.17282700000000001</v>
      </c>
      <c r="B29" s="2">
        <f>A27</f>
        <v>7.4965699999999997E-7</v>
      </c>
      <c r="D29" t="s">
        <v>1</v>
      </c>
      <c r="E29" t="s">
        <v>2</v>
      </c>
      <c r="F29" t="s">
        <v>32</v>
      </c>
      <c r="G29" t="s">
        <v>4</v>
      </c>
      <c r="H29" t="str">
        <f t="shared" si="13"/>
        <v>0.000000749657;</v>
      </c>
      <c r="I29" t="str">
        <f t="shared" si="4"/>
        <v>0.000000749657,</v>
      </c>
      <c r="J29" s="5" t="str">
        <f t="shared" si="0"/>
        <v>parameter SI.MassConcentration S_h2_start = 0.000000749657;</v>
      </c>
      <c r="L29" t="str">
        <f>SUBSTITUTE(_xlfn.CONCAT(F29," ",G29," ",H29),";",",")</f>
        <v>S_h2_start = 0.000000749657,</v>
      </c>
      <c r="P29" s="5" t="str">
        <f t="shared" si="14"/>
        <v>S_cat_start = 0.117696,</v>
      </c>
      <c r="R29" s="13" t="str">
        <f t="shared" si="6"/>
        <v>digester.S_cat_start = 0.117696,</v>
      </c>
      <c r="T29" t="str">
        <f t="shared" si="7"/>
        <v>uit.digester.S_cat_start = 0.117696,</v>
      </c>
      <c r="V29" t="s">
        <v>456</v>
      </c>
      <c r="W29" t="str">
        <f t="shared" si="8"/>
        <v>sic=0.172827,</v>
      </c>
    </row>
    <row r="30" spans="1:23" x14ac:dyDescent="0.3">
      <c r="A30" s="2">
        <v>7.9852900000000004E-2</v>
      </c>
      <c r="B30" s="2">
        <f>A28</f>
        <v>0.24122499999999999</v>
      </c>
      <c r="D30" t="s">
        <v>1</v>
      </c>
      <c r="E30" t="s">
        <v>2</v>
      </c>
      <c r="F30" t="s">
        <v>33</v>
      </c>
      <c r="G30" t="s">
        <v>4</v>
      </c>
      <c r="H30" t="str">
        <f t="shared" si="13"/>
        <v>0.241225;</v>
      </c>
      <c r="I30" t="str">
        <f t="shared" si="4"/>
        <v>0.241225,</v>
      </c>
      <c r="J30" s="5" t="str">
        <f t="shared" si="0"/>
        <v>parameter SI.MassConcentration S_ch4_start = 0.241225;</v>
      </c>
      <c r="L30" t="str">
        <f>SUBSTITUTE(_xlfn.CONCAT(F30," ",G30," ",H30),";",",")</f>
        <v>S_ch4_start = 0.241225,</v>
      </c>
      <c r="P30" s="5" t="str">
        <f t="shared" si="14"/>
        <v>S_ca_start = 0.0000669154,</v>
      </c>
      <c r="R30" s="13" t="str">
        <f t="shared" si="6"/>
        <v>digester.S_ca_start = 0.0000669154,</v>
      </c>
      <c r="T30" t="str">
        <f t="shared" si="7"/>
        <v>uit.digester.S_ca_start = 0.0000669154,</v>
      </c>
      <c r="V30" t="s">
        <v>457</v>
      </c>
      <c r="W30" t="str">
        <f t="shared" si="8"/>
        <v>sin=0.0798529,</v>
      </c>
    </row>
    <row r="31" spans="1:23" x14ac:dyDescent="0.3">
      <c r="A31" s="2">
        <v>3.9760300000000002E-3</v>
      </c>
      <c r="B31" s="2" t="s">
        <v>46</v>
      </c>
      <c r="D31" t="s">
        <v>34</v>
      </c>
      <c r="E31" t="s">
        <v>35</v>
      </c>
      <c r="F31" t="s">
        <v>31</v>
      </c>
      <c r="I31" t="str">
        <f t="shared" si="4"/>
        <v/>
      </c>
      <c r="J31" s="5" t="str">
        <f t="shared" si="0"/>
        <v xml:space="preserve">//Ionic total components  </v>
      </c>
      <c r="P31" s="5" t="str">
        <f t="shared" si="14"/>
        <v>S_mg_start = 0.000185586,</v>
      </c>
      <c r="R31" s="13" t="str">
        <f t="shared" si="6"/>
        <v>digester.S_mg_start = 0.000185586,</v>
      </c>
      <c r="T31" t="str">
        <f t="shared" si="7"/>
        <v>uit.digester.S_mg_start = 0.000185586,</v>
      </c>
      <c r="V31" t="s">
        <v>458</v>
      </c>
      <c r="W31" t="str">
        <f t="shared" si="8"/>
        <v>sip=0.00397603,</v>
      </c>
    </row>
    <row r="32" spans="1:23" x14ac:dyDescent="0.3">
      <c r="A32" s="2">
        <v>0.117696</v>
      </c>
      <c r="B32" s="2">
        <f>A29</f>
        <v>0.17282700000000001</v>
      </c>
      <c r="D32" t="s">
        <v>1</v>
      </c>
      <c r="E32" t="s">
        <v>36</v>
      </c>
      <c r="F32" t="s">
        <v>37</v>
      </c>
      <c r="G32" t="s">
        <v>4</v>
      </c>
      <c r="H32" t="str">
        <f t="shared" si="13"/>
        <v>0.172827;</v>
      </c>
      <c r="I32" t="str">
        <f t="shared" si="4"/>
        <v>0.172827,</v>
      </c>
      <c r="J32" s="5" t="str">
        <f t="shared" si="0"/>
        <v>parameter Types.MolarDensity_M S_ic_start = 0.172827;</v>
      </c>
      <c r="L32" t="str">
        <f t="shared" ref="L32:L40" si="15">SUBSTITUTE(_xlfn.CONCAT(F32," ",G32," ",H32),";",",")</f>
        <v>S_ic_start = 0.172827,</v>
      </c>
      <c r="P32" s="5" t="str">
        <f t="shared" si="14"/>
        <v>S_an_start = 0.0182749,</v>
      </c>
      <c r="R32" s="13" t="str">
        <f t="shared" si="6"/>
        <v>digester.S_an_start = 0.0182749,</v>
      </c>
      <c r="T32" t="str">
        <f>_xlfn.CONCAT("uit.",R32)</f>
        <v>uit.digester.S_an_start = 0.0182749,</v>
      </c>
      <c r="V32" t="s">
        <v>475</v>
      </c>
      <c r="W32" t="str">
        <f t="shared" si="8"/>
        <v>scat=0.117696,</v>
      </c>
    </row>
    <row r="33" spans="1:23" x14ac:dyDescent="0.3">
      <c r="A33" s="2">
        <v>6.6915400000000006E-5</v>
      </c>
      <c r="B33" s="2">
        <f t="shared" ref="B33:B40" si="16">A30</f>
        <v>7.9852900000000004E-2</v>
      </c>
      <c r="D33" t="s">
        <v>1</v>
      </c>
      <c r="E33" t="s">
        <v>36</v>
      </c>
      <c r="F33" t="s">
        <v>38</v>
      </c>
      <c r="G33" t="s">
        <v>4</v>
      </c>
      <c r="H33" t="str">
        <f t="shared" si="13"/>
        <v>0.0798529;</v>
      </c>
      <c r="I33" t="str">
        <f t="shared" si="4"/>
        <v>0.0798529,</v>
      </c>
      <c r="J33" s="5" t="str">
        <f t="shared" si="0"/>
        <v>parameter Types.MolarDensity_M S_in_start = 0.0798529;</v>
      </c>
      <c r="L33" t="str">
        <f t="shared" si="15"/>
        <v>S_in_start = 0.0798529,</v>
      </c>
      <c r="P33" s="5" t="str">
        <f t="shared" si="14"/>
        <v>ash_start = 13.3108,</v>
      </c>
      <c r="R33" s="13" t="str">
        <f t="shared" si="6"/>
        <v>digester.ash_start = 13.3108,</v>
      </c>
      <c r="T33" t="str">
        <f t="shared" si="7"/>
        <v>uit.digester.ash_start = 13.3108,</v>
      </c>
      <c r="V33" t="s">
        <v>459</v>
      </c>
      <c r="W33" t="str">
        <f t="shared" si="8"/>
        <v>sca=0.0000669154,</v>
      </c>
    </row>
    <row r="34" spans="1:23" x14ac:dyDescent="0.3">
      <c r="A34" s="2">
        <v>1.8558600000000001E-4</v>
      </c>
      <c r="B34" s="2">
        <f t="shared" si="16"/>
        <v>3.9760300000000002E-3</v>
      </c>
      <c r="D34" t="s">
        <v>1</v>
      </c>
      <c r="E34" t="s">
        <v>36</v>
      </c>
      <c r="F34" t="s">
        <v>39</v>
      </c>
      <c r="G34" t="s">
        <v>4</v>
      </c>
      <c r="H34" t="str">
        <f t="shared" si="13"/>
        <v>0.00397603;</v>
      </c>
      <c r="I34" t="str">
        <f t="shared" si="4"/>
        <v>0.00397603,</v>
      </c>
      <c r="J34" s="5" t="str">
        <f t="shared" si="0"/>
        <v>parameter Types.MolarDensity_M S_ip_start = 0.00397603;</v>
      </c>
      <c r="L34" t="str">
        <f t="shared" si="15"/>
        <v>S_ip_start = 0.00397603,</v>
      </c>
      <c r="P34" s="5" t="str">
        <f t="shared" si="14"/>
        <v>X_lig_start = 8.24823,</v>
      </c>
      <c r="R34" s="13" t="str">
        <f t="shared" si="6"/>
        <v>digester.X_lig_start = 8.24823,</v>
      </c>
      <c r="T34" t="str">
        <f t="shared" si="7"/>
        <v>uit.digester.X_lig_start = 8.24823,</v>
      </c>
      <c r="V34" t="s">
        <v>460</v>
      </c>
      <c r="W34" t="str">
        <f t="shared" si="8"/>
        <v>smg=0.000185586,</v>
      </c>
    </row>
    <row r="35" spans="1:23" x14ac:dyDescent="0.3">
      <c r="A35" s="2">
        <v>1.82749E-2</v>
      </c>
      <c r="B35" s="2">
        <f t="shared" si="16"/>
        <v>0.117696</v>
      </c>
      <c r="D35" t="s">
        <v>1</v>
      </c>
      <c r="E35" t="s">
        <v>36</v>
      </c>
      <c r="F35" t="s">
        <v>40</v>
      </c>
      <c r="G35" t="s">
        <v>4</v>
      </c>
      <c r="H35" t="str">
        <f t="shared" si="13"/>
        <v>0.117696;</v>
      </c>
      <c r="I35" t="str">
        <f t="shared" si="4"/>
        <v>0.117696,</v>
      </c>
      <c r="J35" s="5" t="str">
        <f t="shared" si="0"/>
        <v>parameter Types.MolarDensity_M S_cat_start = 0.117696;</v>
      </c>
      <c r="L35" t="str">
        <f t="shared" si="15"/>
        <v>S_cat_start = 0.117696,</v>
      </c>
      <c r="P35" s="5" t="str">
        <f>L43</f>
        <v>S_gas_h2_start = 0.0000066058,</v>
      </c>
      <c r="R35" s="13" t="str">
        <f t="shared" si="6"/>
        <v>digester.S_gas_h2_start = 0.0000066058,</v>
      </c>
      <c r="T35" t="str">
        <f t="shared" si="7"/>
        <v>uit.digester.S_gas_h2_start = 0.0000066058,</v>
      </c>
      <c r="V35" t="s">
        <v>461</v>
      </c>
      <c r="W35" t="str">
        <f t="shared" si="8"/>
        <v>san=0.0182749,</v>
      </c>
    </row>
    <row r="36" spans="1:23" x14ac:dyDescent="0.3">
      <c r="A36" s="2">
        <v>13.3108</v>
      </c>
      <c r="B36" s="2">
        <f t="shared" si="16"/>
        <v>6.6915400000000006E-5</v>
      </c>
      <c r="D36" t="s">
        <v>1</v>
      </c>
      <c r="E36" t="s">
        <v>36</v>
      </c>
      <c r="F36" t="s">
        <v>41</v>
      </c>
      <c r="G36" t="s">
        <v>4</v>
      </c>
      <c r="H36" t="str">
        <f t="shared" si="13"/>
        <v>0.0000669154;</v>
      </c>
      <c r="I36" t="str">
        <f t="shared" si="4"/>
        <v>0.0000669154,</v>
      </c>
      <c r="J36" s="5" t="str">
        <f t="shared" si="0"/>
        <v>parameter Types.MolarDensity_M S_ca_start = 0.0000669154;</v>
      </c>
      <c r="L36" t="str">
        <f t="shared" si="15"/>
        <v>S_ca_start = 0.0000669154,</v>
      </c>
      <c r="P36" s="5" t="str">
        <f>L44</f>
        <v>S_gas_ch4_start = 1.26843,</v>
      </c>
      <c r="R36" s="13" t="str">
        <f t="shared" si="6"/>
        <v>digester.S_gas_ch4_start = 1.26843,</v>
      </c>
      <c r="T36" t="str">
        <f t="shared" si="7"/>
        <v>uit.digester.S_gas_ch4_start = 1.26843,</v>
      </c>
      <c r="V36" t="s">
        <v>462</v>
      </c>
      <c r="W36" t="str">
        <f t="shared" si="8"/>
        <v>xash=13.3108,</v>
      </c>
    </row>
    <row r="37" spans="1:23" x14ac:dyDescent="0.3">
      <c r="A37" s="2">
        <v>8.2482299999999995</v>
      </c>
      <c r="B37" s="2">
        <f t="shared" si="16"/>
        <v>1.8558600000000001E-4</v>
      </c>
      <c r="D37" t="s">
        <v>1</v>
      </c>
      <c r="E37" t="s">
        <v>36</v>
      </c>
      <c r="F37" t="s">
        <v>42</v>
      </c>
      <c r="G37" t="s">
        <v>4</v>
      </c>
      <c r="H37" t="str">
        <f t="shared" si="13"/>
        <v>0.000185586;</v>
      </c>
      <c r="I37" t="str">
        <f t="shared" si="4"/>
        <v>0.000185586,</v>
      </c>
      <c r="J37" s="5" t="str">
        <f t="shared" si="0"/>
        <v>parameter Types.MolarDensity_M S_mg_start = 0.000185586;</v>
      </c>
      <c r="L37" t="str">
        <f t="shared" si="15"/>
        <v>S_mg_start = 0.000185586,</v>
      </c>
      <c r="P37" s="5" t="str">
        <f>L45</f>
        <v>S_gas_co2_start = 0.0165676,</v>
      </c>
      <c r="R37" s="13" t="str">
        <f t="shared" si="6"/>
        <v>digester.S_gas_co2_start = 0.0165676,</v>
      </c>
      <c r="T37" t="str">
        <f t="shared" si="7"/>
        <v>uit.digester.S_gas_co2_start = 0.0165676,</v>
      </c>
      <c r="V37" t="s">
        <v>363</v>
      </c>
      <c r="W37" t="str">
        <f t="shared" si="8"/>
        <v>xlig=8.24823,</v>
      </c>
    </row>
    <row r="38" spans="1:23" x14ac:dyDescent="0.3">
      <c r="A38" s="2">
        <v>6.6058000000000003E-6</v>
      </c>
      <c r="B38" s="2">
        <f t="shared" si="16"/>
        <v>1.82749E-2</v>
      </c>
      <c r="D38" t="s">
        <v>1</v>
      </c>
      <c r="E38" t="s">
        <v>36</v>
      </c>
      <c r="F38" t="s">
        <v>43</v>
      </c>
      <c r="G38" t="s">
        <v>4</v>
      </c>
      <c r="H38" t="str">
        <f t="shared" si="13"/>
        <v>0.0182749;</v>
      </c>
      <c r="I38" t="str">
        <f t="shared" si="4"/>
        <v>0.0182749,</v>
      </c>
      <c r="J38" s="5" t="str">
        <f t="shared" si="0"/>
        <v>parameter Types.MolarDensity_M S_an_start = 0.0182749;</v>
      </c>
      <c r="L38" t="str">
        <f t="shared" si="15"/>
        <v>S_an_start = 0.0182749,</v>
      </c>
      <c r="P38" s="5" t="str">
        <f>L46</f>
        <v>S_gas_nh3_start = 0.00000118167,</v>
      </c>
      <c r="R38" s="13" t="str">
        <f t="shared" si="6"/>
        <v>digester.S_gas_nh3_start = 0.00000118167,</v>
      </c>
      <c r="T38" t="str">
        <f t="shared" si="7"/>
        <v>uit.digester.S_gas_nh3_start = 0.00000118167,</v>
      </c>
      <c r="V38" t="s">
        <v>463</v>
      </c>
      <c r="W38" t="str">
        <f t="shared" si="8"/>
        <v>sgh2=0.0000066058,</v>
      </c>
    </row>
    <row r="39" spans="1:23" x14ac:dyDescent="0.3">
      <c r="A39" s="2">
        <v>1.2684299999999999</v>
      </c>
      <c r="B39" s="2">
        <f t="shared" si="16"/>
        <v>13.3108</v>
      </c>
      <c r="D39" t="s">
        <v>1</v>
      </c>
      <c r="E39" t="s">
        <v>2</v>
      </c>
      <c r="F39" t="s">
        <v>44</v>
      </c>
      <c r="G39" t="s">
        <v>4</v>
      </c>
      <c r="H39" t="str">
        <f t="shared" si="13"/>
        <v>13.3108;</v>
      </c>
      <c r="I39" t="str">
        <f t="shared" si="4"/>
        <v>13.3108,</v>
      </c>
      <c r="J39" s="5" t="str">
        <f t="shared" si="0"/>
        <v>parameter SI.MassConcentration ash_start = 13.3108;</v>
      </c>
      <c r="L39" t="str">
        <f t="shared" si="15"/>
        <v>ash_start = 13.3108,</v>
      </c>
      <c r="P39" s="5" t="str">
        <f>L48</f>
        <v>X_acp_start = 0.0000000000165869,</v>
      </c>
      <c r="R39" s="13" t="str">
        <f t="shared" si="6"/>
        <v>digester.X_acp_start = 0.0000000000165869,</v>
      </c>
      <c r="T39" t="str">
        <f t="shared" si="7"/>
        <v>uit.digester.X_acp_start = 0.0000000000165869,</v>
      </c>
      <c r="V39" t="s">
        <v>464</v>
      </c>
      <c r="W39" t="str">
        <f t="shared" si="8"/>
        <v>sgch4=1.26843,</v>
      </c>
    </row>
    <row r="40" spans="1:23" x14ac:dyDescent="0.3">
      <c r="A40" s="2">
        <v>1.6567599999999998E-2</v>
      </c>
      <c r="B40" s="2">
        <f t="shared" si="16"/>
        <v>8.2482299999999995</v>
      </c>
      <c r="D40" t="s">
        <v>1</v>
      </c>
      <c r="E40" t="s">
        <v>2</v>
      </c>
      <c r="F40" t="s">
        <v>45</v>
      </c>
      <c r="G40" t="s">
        <v>4</v>
      </c>
      <c r="H40" t="str">
        <f t="shared" si="13"/>
        <v>8.24823;</v>
      </c>
      <c r="I40" t="str">
        <f t="shared" si="4"/>
        <v>8.24823,</v>
      </c>
      <c r="J40" s="5" t="str">
        <f t="shared" si="0"/>
        <v>parameter SI.MassConcentration X_lig_start = 8.24823;</v>
      </c>
      <c r="L40" t="str">
        <f t="shared" si="15"/>
        <v>X_lig_start = 8.24823,</v>
      </c>
      <c r="P40" s="5" t="str">
        <f>L49</f>
        <v>X_stru_start = 0.0111563,</v>
      </c>
      <c r="R40" s="13" t="str">
        <f t="shared" si="6"/>
        <v>digester.X_stru_start = 0.0111563,</v>
      </c>
      <c r="T40" t="str">
        <f t="shared" si="7"/>
        <v>uit.digester.X_stru_start = 0.0111563,</v>
      </c>
      <c r="V40" t="s">
        <v>465</v>
      </c>
      <c r="W40" t="str">
        <f t="shared" si="8"/>
        <v>sgco2=0.0165676,</v>
      </c>
    </row>
    <row r="41" spans="1:23" x14ac:dyDescent="0.3">
      <c r="A41" s="2">
        <v>1.1816700000000001E-6</v>
      </c>
      <c r="B41" s="2"/>
      <c r="D41" t="s">
        <v>19</v>
      </c>
      <c r="I41" t="str">
        <f t="shared" si="4"/>
        <v/>
      </c>
      <c r="J41" s="5" t="str">
        <f t="shared" si="0"/>
        <v xml:space="preserve">//    </v>
      </c>
      <c r="P41" s="5" t="str">
        <f>L50</f>
        <v>X_ccm_start = 0.00596673,</v>
      </c>
      <c r="R41" s="13" t="str">
        <f t="shared" si="6"/>
        <v>digester.X_ccm_start = 0.00596673,</v>
      </c>
      <c r="T41" t="str">
        <f t="shared" si="7"/>
        <v>uit.digester.X_ccm_start = 0.00596673,</v>
      </c>
      <c r="V41" t="s">
        <v>466</v>
      </c>
      <c r="W41" t="str">
        <f t="shared" si="8"/>
        <v>sgnh3=0.00000118167,</v>
      </c>
    </row>
    <row r="42" spans="1:23" ht="15" thickBot="1" x14ac:dyDescent="0.35">
      <c r="A42" s="2">
        <v>1.6586900000000002E-11</v>
      </c>
      <c r="B42" s="2"/>
      <c r="D42" t="s">
        <v>48</v>
      </c>
      <c r="E42" t="s">
        <v>31</v>
      </c>
      <c r="I42" t="str">
        <f t="shared" si="4"/>
        <v/>
      </c>
      <c r="J42" s="5" t="str">
        <f t="shared" si="0"/>
        <v xml:space="preserve">//Gas components   </v>
      </c>
      <c r="P42" s="6" t="str">
        <f>L51</f>
        <v>X_mag_start = 0.000000003761</v>
      </c>
      <c r="R42" s="13" t="str">
        <f t="shared" si="6"/>
        <v>digester.X_mag_start = 0.000000003761</v>
      </c>
      <c r="T42" t="str">
        <f t="shared" si="7"/>
        <v>uit.digester.X_mag_start = 0.000000003761</v>
      </c>
      <c r="V42" t="s">
        <v>467</v>
      </c>
      <c r="W42" t="str">
        <f>_xlfn.CONCAT(V42,"=",0,",")</f>
        <v>sgn2=0,</v>
      </c>
    </row>
    <row r="43" spans="1:23" ht="15" thickBot="1" x14ac:dyDescent="0.35">
      <c r="A43" s="2">
        <v>1.1156299999999999E-2</v>
      </c>
      <c r="B43" s="2">
        <f>A38</f>
        <v>6.6058000000000003E-6</v>
      </c>
      <c r="D43" t="s">
        <v>1</v>
      </c>
      <c r="E43" t="s">
        <v>2</v>
      </c>
      <c r="F43" t="s">
        <v>49</v>
      </c>
      <c r="G43" t="s">
        <v>4</v>
      </c>
      <c r="H43" t="str">
        <f t="shared" si="13"/>
        <v>0.0000066058;</v>
      </c>
      <c r="I43" t="str">
        <f t="shared" si="4"/>
        <v>0.0000066058,</v>
      </c>
      <c r="J43" s="5" t="str">
        <f t="shared" si="0"/>
        <v>parameter SI.MassConcentration S_gas_h2_start = 0.0000066058;</v>
      </c>
      <c r="L43" t="str">
        <f>SUBSTITUTE(_xlfn.CONCAT(F43," ",G43," ",H43),";",",")</f>
        <v>S_gas_h2_start = 0.0000066058,</v>
      </c>
      <c r="P43" s="3" t="s">
        <v>62</v>
      </c>
      <c r="R43" s="13"/>
      <c r="V43" t="s">
        <v>343</v>
      </c>
      <c r="W43" t="str">
        <f>_xlfn.CONCAT(V43,"=",A42,",")</f>
        <v>xacp=0.0000000000165869,</v>
      </c>
    </row>
    <row r="44" spans="1:23" ht="16.2" thickBot="1" x14ac:dyDescent="0.35">
      <c r="A44" s="2">
        <v>5.96673E-3</v>
      </c>
      <c r="B44" s="2">
        <f t="shared" ref="B44:B46" si="17">A39</f>
        <v>1.2684299999999999</v>
      </c>
      <c r="D44" t="s">
        <v>1</v>
      </c>
      <c r="E44" t="s">
        <v>2</v>
      </c>
      <c r="F44" t="s">
        <v>50</v>
      </c>
      <c r="G44" t="s">
        <v>4</v>
      </c>
      <c r="H44" t="str">
        <f t="shared" si="13"/>
        <v>1.26843;</v>
      </c>
      <c r="I44" t="str">
        <f t="shared" si="4"/>
        <v>1.26843,</v>
      </c>
      <c r="J44" s="5" t="str">
        <f t="shared" si="0"/>
        <v>parameter SI.MassConcentration S_gas_ch4_start = 1.26843;</v>
      </c>
      <c r="L44" t="str">
        <f>SUBSTITUTE(_xlfn.CONCAT(F44," ",G44," ",H44),";",",")</f>
        <v>S_gas_ch4_start = 1.26843,</v>
      </c>
      <c r="P44" s="11" t="str">
        <f>L53</f>
        <v>xi_start = 0.0200968,</v>
      </c>
      <c r="R44" s="14" t="str">
        <f>_xlfn.CONCAT("limPID.",P44)</f>
        <v>limPID.xi_start = 0.0200968,</v>
      </c>
      <c r="T44" t="str">
        <f t="shared" si="7"/>
        <v>uit.limPID.xi_start = 0.0200968,</v>
      </c>
      <c r="V44" t="s">
        <v>369</v>
      </c>
      <c r="W44" t="str">
        <f t="shared" ref="W44:W46" si="18">_xlfn.CONCAT(V44,"=",A43,",")</f>
        <v>xstru=0.0111563,</v>
      </c>
    </row>
    <row r="45" spans="1:23" x14ac:dyDescent="0.3">
      <c r="A45" s="2">
        <v>3.7609999999999997E-9</v>
      </c>
      <c r="B45" s="2">
        <f t="shared" si="17"/>
        <v>1.6567599999999998E-2</v>
      </c>
      <c r="D45" t="s">
        <v>1</v>
      </c>
      <c r="E45" t="s">
        <v>36</v>
      </c>
      <c r="F45" t="s">
        <v>51</v>
      </c>
      <c r="G45" t="s">
        <v>4</v>
      </c>
      <c r="H45" t="str">
        <f t="shared" si="13"/>
        <v>0.0165676;</v>
      </c>
      <c r="I45" t="str">
        <f t="shared" si="4"/>
        <v>0.0165676,</v>
      </c>
      <c r="J45" s="5" t="str">
        <f t="shared" si="0"/>
        <v>parameter Types.MolarDensity_M S_gas_co2_start = 0.0165676;</v>
      </c>
      <c r="L45" t="str">
        <f>SUBSTITUTE(_xlfn.CONCAT(F45," ",G45," ",H45),";",",")</f>
        <v>S_gas_co2_start = 0.0165676,</v>
      </c>
      <c r="V45" t="s">
        <v>352</v>
      </c>
      <c r="W45" t="str">
        <f t="shared" si="18"/>
        <v>xccm=0.00596673,</v>
      </c>
    </row>
    <row r="46" spans="1:23" ht="15" thickBot="1" x14ac:dyDescent="0.35">
      <c r="A46" s="3" t="s">
        <v>62</v>
      </c>
      <c r="B46" s="2">
        <f t="shared" si="17"/>
        <v>1.1816700000000001E-6</v>
      </c>
      <c r="D46" t="s">
        <v>1</v>
      </c>
      <c r="E46" t="s">
        <v>36</v>
      </c>
      <c r="F46" t="s">
        <v>52</v>
      </c>
      <c r="G46" t="s">
        <v>4</v>
      </c>
      <c r="H46" t="str">
        <f t="shared" si="13"/>
        <v>0.00000118167;</v>
      </c>
      <c r="I46" t="str">
        <f t="shared" si="4"/>
        <v>0.00000118167,</v>
      </c>
      <c r="J46" s="5" t="str">
        <f t="shared" si="0"/>
        <v>parameter Types.MolarDensity_M S_gas_nh3_start = 0.00000118167;</v>
      </c>
      <c r="L46" t="str">
        <f>SUBSTITUTE(_xlfn.CONCAT(F46," ",G46," ",H46),";",",")</f>
        <v>S_gas_nh3_start = 0.00000118167,</v>
      </c>
      <c r="V46" t="s">
        <v>364</v>
      </c>
      <c r="W46" t="str">
        <f t="shared" si="18"/>
        <v>xmag=0.000000003761,</v>
      </c>
    </row>
    <row r="47" spans="1:23" ht="15" thickBot="1" x14ac:dyDescent="0.35">
      <c r="A47" s="19">
        <v>2.0096800000000001E-2</v>
      </c>
      <c r="I47" t="str">
        <f t="shared" si="4"/>
        <v/>
      </c>
      <c r="J47" s="5" t="str">
        <f t="shared" si="0"/>
        <v xml:space="preserve">    </v>
      </c>
      <c r="V47" t="s">
        <v>468</v>
      </c>
      <c r="W47" t="str">
        <f>_xlfn.CONCAT(V47,"=",A47,",")</f>
        <v>pidi=0.0200968,</v>
      </c>
    </row>
    <row r="48" spans="1:23" ht="15" thickBot="1" x14ac:dyDescent="0.35">
      <c r="A48" s="3" t="s">
        <v>474</v>
      </c>
      <c r="B48" s="2">
        <f>A42</f>
        <v>1.6586900000000002E-11</v>
      </c>
      <c r="D48" t="s">
        <v>1</v>
      </c>
      <c r="E48" t="s">
        <v>36</v>
      </c>
      <c r="F48" t="s">
        <v>53</v>
      </c>
      <c r="G48" t="s">
        <v>4</v>
      </c>
      <c r="H48" t="str">
        <f t="shared" si="13"/>
        <v>0.0000000000165869;</v>
      </c>
      <c r="I48" t="str">
        <f t="shared" si="4"/>
        <v>0.0000000000165869,</v>
      </c>
      <c r="J48" s="5" t="str">
        <f t="shared" si="0"/>
        <v>parameter Types.MolarDensity_M X_acp_start = 0.0000000000165869;</v>
      </c>
      <c r="L48" t="str">
        <f>SUBSTITUTE(_xlfn.CONCAT(F48," ",G48," ",H48),";",",")</f>
        <v>X_acp_start = 0.0000000000165869,</v>
      </c>
      <c r="V48" t="s">
        <v>469</v>
      </c>
      <c r="W48" t="str">
        <f>_xlfn.CONCAT(V48,"=",A49,",")</f>
        <v>sgbch4=1.26441,</v>
      </c>
    </row>
    <row r="49" spans="1:23" x14ac:dyDescent="0.3">
      <c r="A49" s="7" t="s">
        <v>476</v>
      </c>
      <c r="B49" s="2">
        <f t="shared" ref="B49:B51" si="19">A43</f>
        <v>1.1156299999999999E-2</v>
      </c>
      <c r="D49" t="s">
        <v>1</v>
      </c>
      <c r="E49" t="s">
        <v>36</v>
      </c>
      <c r="F49" t="s">
        <v>54</v>
      </c>
      <c r="G49" t="s">
        <v>4</v>
      </c>
      <c r="H49" t="str">
        <f t="shared" si="13"/>
        <v>0.0111563;</v>
      </c>
      <c r="I49" t="str">
        <f t="shared" si="4"/>
        <v>0.0111563,</v>
      </c>
      <c r="J49" s="5" t="str">
        <f t="shared" si="0"/>
        <v>parameter Types.MolarDensity_M X_stru_start = 0.0111563;</v>
      </c>
      <c r="L49" t="str">
        <f>SUBSTITUTE(_xlfn.CONCAT(F49," ",G49," ",H49),";",",")</f>
        <v>X_stru_start = 0.0111563,</v>
      </c>
      <c r="V49" t="s">
        <v>470</v>
      </c>
      <c r="W49" t="str">
        <f t="shared" ref="W49:W51" si="20">_xlfn.CONCAT(V49,"=",A50,",")</f>
        <v>sgbco2=0.0165152,</v>
      </c>
    </row>
    <row r="50" spans="1:23" x14ac:dyDescent="0.3">
      <c r="A50" s="8" t="s">
        <v>477</v>
      </c>
      <c r="B50" s="2">
        <f t="shared" si="19"/>
        <v>5.96673E-3</v>
      </c>
      <c r="D50" t="s">
        <v>1</v>
      </c>
      <c r="E50" t="s">
        <v>36</v>
      </c>
      <c r="F50" t="s">
        <v>55</v>
      </c>
      <c r="G50" t="s">
        <v>4</v>
      </c>
      <c r="H50" t="str">
        <f t="shared" si="13"/>
        <v>0.00596673;</v>
      </c>
      <c r="I50" t="str">
        <f t="shared" si="4"/>
        <v>0.00596673,</v>
      </c>
      <c r="J50" s="5" t="str">
        <f t="shared" si="0"/>
        <v>parameter Types.MolarDensity_M X_ccm_start = 0.00596673;</v>
      </c>
      <c r="L50" t="str">
        <f>SUBSTITUTE(_xlfn.CONCAT(F50," ",G50," ",H50),";",",")</f>
        <v>X_ccm_start = 0.00596673,</v>
      </c>
      <c r="V50" t="s">
        <v>471</v>
      </c>
      <c r="W50" t="str">
        <f t="shared" si="20"/>
        <v>sgbnh3=0.00000117794,</v>
      </c>
    </row>
    <row r="51" spans="1:23" ht="15" thickBot="1" x14ac:dyDescent="0.35">
      <c r="A51" s="8" t="s">
        <v>478</v>
      </c>
      <c r="B51" s="2">
        <f t="shared" si="19"/>
        <v>3.7609999999999997E-9</v>
      </c>
      <c r="D51" t="s">
        <v>1</v>
      </c>
      <c r="E51" t="s">
        <v>36</v>
      </c>
      <c r="F51" t="s">
        <v>56</v>
      </c>
      <c r="G51" t="s">
        <v>4</v>
      </c>
      <c r="H51" t="str">
        <f t="shared" si="13"/>
        <v>0.000000003761;</v>
      </c>
      <c r="I51" t="str">
        <f t="shared" si="4"/>
        <v>0.000000003761,</v>
      </c>
      <c r="J51" s="6" t="str">
        <f t="shared" si="0"/>
        <v>parameter Types.MolarDensity_M X_mag_start = 0.000000003761;</v>
      </c>
      <c r="L51" t="str">
        <f>SUBSTITUTE(_xlfn.CONCAT(F51," ",G51," ",H51),";","")</f>
        <v>X_mag_start = 0.000000003761</v>
      </c>
      <c r="V51" t="s">
        <v>472</v>
      </c>
      <c r="W51" t="str">
        <f t="shared" si="20"/>
        <v>sgbh2=0.00000658491,</v>
      </c>
    </row>
    <row r="52" spans="1:23" x14ac:dyDescent="0.3">
      <c r="A52" s="8" t="s">
        <v>479</v>
      </c>
      <c r="V52" t="s">
        <v>473</v>
      </c>
      <c r="W52" t="str">
        <f>_xlfn.CONCAT(V52,"=",A53,";")</f>
        <v>sgbn2=0;</v>
      </c>
    </row>
    <row r="53" spans="1:23" ht="16.2" thickBot="1" x14ac:dyDescent="0.35">
      <c r="A53" s="9">
        <v>0</v>
      </c>
      <c r="D53" s="20"/>
      <c r="L53" s="1" t="str">
        <f>_xlfn.CONCAT("xi_start ="," ",A47,",")</f>
        <v>xi_start = 0.0200968,</v>
      </c>
    </row>
    <row r="54" spans="1:23" x14ac:dyDescent="0.3">
      <c r="D54" s="21"/>
    </row>
    <row r="55" spans="1:23" ht="15.6" x14ac:dyDescent="0.3">
      <c r="C55" s="17"/>
    </row>
    <row r="56" spans="1:23" x14ac:dyDescent="0.3">
      <c r="A56" s="15"/>
      <c r="B56" s="2"/>
    </row>
    <row r="57" spans="1:23" x14ac:dyDescent="0.3">
      <c r="B57" s="2"/>
    </row>
    <row r="58" spans="1:23" x14ac:dyDescent="0.3">
      <c r="B58" s="2"/>
    </row>
    <row r="59" spans="1:23" x14ac:dyDescent="0.3">
      <c r="A59" s="15"/>
      <c r="B59" s="2"/>
    </row>
    <row r="60" spans="1:23" x14ac:dyDescent="0.3">
      <c r="A60" s="15"/>
      <c r="B60" s="2"/>
    </row>
    <row r="61" spans="1:23" x14ac:dyDescent="0.3">
      <c r="A61" s="15"/>
      <c r="B61" s="2"/>
    </row>
    <row r="62" spans="1:23" x14ac:dyDescent="0.3">
      <c r="B62" s="2"/>
    </row>
    <row r="63" spans="1:23" x14ac:dyDescent="0.3">
      <c r="B63" s="2"/>
    </row>
    <row r="64" spans="1:23" x14ac:dyDescent="0.3">
      <c r="A64" s="15"/>
      <c r="B64" s="2"/>
      <c r="C64" t="s">
        <v>235</v>
      </c>
    </row>
    <row r="65" spans="2:10" x14ac:dyDescent="0.3">
      <c r="B65" s="2"/>
    </row>
    <row r="66" spans="2:10" x14ac:dyDescent="0.3">
      <c r="C66" s="2"/>
    </row>
    <row r="67" spans="2:10" x14ac:dyDescent="0.3">
      <c r="C67" s="2"/>
    </row>
    <row r="68" spans="2:10" x14ac:dyDescent="0.3">
      <c r="C68" s="2"/>
      <c r="I68" s="2">
        <v>1.7746200000000001</v>
      </c>
      <c r="J68" s="2">
        <v>1.7746200000000001</v>
      </c>
    </row>
    <row r="69" spans="2:10" x14ac:dyDescent="0.3">
      <c r="C69" s="2"/>
      <c r="I69" s="2">
        <v>0.38411099999999998</v>
      </c>
      <c r="J69" s="2">
        <v>0.38411099999999998</v>
      </c>
    </row>
    <row r="70" spans="2:10" x14ac:dyDescent="0.3">
      <c r="C70" s="2"/>
      <c r="I70" s="2">
        <v>0.25032700000000002</v>
      </c>
      <c r="J70" s="2">
        <v>0.25032700000000002</v>
      </c>
    </row>
    <row r="71" spans="2:10" x14ac:dyDescent="0.3">
      <c r="C71" s="2"/>
      <c r="I71" s="2">
        <v>0.346775</v>
      </c>
      <c r="J71" s="2">
        <v>0.346775</v>
      </c>
    </row>
    <row r="72" spans="2:10" x14ac:dyDescent="0.3">
      <c r="C72" s="2"/>
      <c r="I72" s="2">
        <v>0.24557300000000001</v>
      </c>
      <c r="J72" s="2">
        <v>0.24557300000000001</v>
      </c>
    </row>
    <row r="73" spans="2:10" x14ac:dyDescent="0.3">
      <c r="C73" s="2"/>
      <c r="I73" s="2">
        <v>0.91590300000000002</v>
      </c>
      <c r="J73" s="2">
        <v>0.91590300000000002</v>
      </c>
    </row>
    <row r="74" spans="2:10" x14ac:dyDescent="0.3">
      <c r="C74" s="2"/>
      <c r="I74" s="2">
        <v>0.45957199999999998</v>
      </c>
      <c r="J74" s="2">
        <v>0.45957199999999998</v>
      </c>
    </row>
    <row r="75" spans="2:10" x14ac:dyDescent="0.3">
      <c r="C75" s="2"/>
      <c r="I75" s="2">
        <v>1E-10</v>
      </c>
      <c r="J75" s="2">
        <v>1E-10</v>
      </c>
    </row>
    <row r="76" spans="2:10" x14ac:dyDescent="0.3">
      <c r="C76" s="2"/>
      <c r="I76" s="2">
        <v>25.5153</v>
      </c>
      <c r="J76" s="2">
        <v>25.5154</v>
      </c>
    </row>
    <row r="77" spans="2:10" x14ac:dyDescent="0.3">
      <c r="C77" s="2"/>
      <c r="I77" s="2">
        <v>0.71099400000000001</v>
      </c>
      <c r="J77" s="2">
        <v>0.71099400000000001</v>
      </c>
    </row>
    <row r="78" spans="2:10" x14ac:dyDescent="0.3">
      <c r="C78" s="2"/>
      <c r="I78" s="2">
        <v>0.70661499999999999</v>
      </c>
      <c r="J78" s="2">
        <v>0.70661499999999999</v>
      </c>
    </row>
    <row r="79" spans="2:10" x14ac:dyDescent="0.3">
      <c r="C79" s="2"/>
      <c r="I79" s="2">
        <v>3.6915499999999999</v>
      </c>
      <c r="J79" s="2">
        <v>3.69156</v>
      </c>
    </row>
    <row r="80" spans="2:10" x14ac:dyDescent="0.3">
      <c r="C80" s="2"/>
      <c r="I80" s="2">
        <v>0.17077500000000001</v>
      </c>
      <c r="J80" s="2">
        <v>0.17077500000000001</v>
      </c>
    </row>
    <row r="81" spans="3:10" x14ac:dyDescent="0.3">
      <c r="C81" s="2"/>
      <c r="I81" s="2">
        <v>0.68826799999999999</v>
      </c>
      <c r="J81" s="2">
        <v>0.68826799999999999</v>
      </c>
    </row>
    <row r="82" spans="3:10" x14ac:dyDescent="0.3">
      <c r="C82" s="2"/>
      <c r="I82" s="2">
        <v>0.71865999999999997</v>
      </c>
      <c r="J82" s="2">
        <v>0.71865999999999997</v>
      </c>
    </row>
    <row r="83" spans="3:10" x14ac:dyDescent="0.3">
      <c r="C83" s="2"/>
      <c r="I83" s="2">
        <v>0.352132</v>
      </c>
      <c r="J83" s="2">
        <v>0.352134</v>
      </c>
    </row>
    <row r="84" spans="3:10" x14ac:dyDescent="0.3">
      <c r="C84" s="2"/>
      <c r="I84" s="2">
        <v>8.8033100000000003E-2</v>
      </c>
      <c r="J84" s="2">
        <v>8.8033500000000001E-2</v>
      </c>
    </row>
    <row r="85" spans="3:10" x14ac:dyDescent="0.3">
      <c r="C85" s="2"/>
      <c r="I85" s="2">
        <v>1.0939600000000001E-2</v>
      </c>
      <c r="J85" s="2">
        <v>1.0939600000000001E-2</v>
      </c>
    </row>
    <row r="86" spans="3:10" x14ac:dyDescent="0.3">
      <c r="C86" s="2"/>
      <c r="I86" s="2">
        <v>4.8274700000000004E-3</v>
      </c>
      <c r="J86" s="2">
        <v>4.8274700000000004E-3</v>
      </c>
    </row>
    <row r="87" spans="3:10" x14ac:dyDescent="0.3">
      <c r="C87" s="2"/>
      <c r="I87" s="2">
        <v>5.6109399999999997E-2</v>
      </c>
      <c r="J87" s="2">
        <v>5.6109399999999997E-2</v>
      </c>
    </row>
    <row r="88" spans="3:10" x14ac:dyDescent="0.3">
      <c r="C88" s="2"/>
      <c r="I88" s="2">
        <v>6.6078600000000001E-3</v>
      </c>
      <c r="J88" s="2">
        <v>6.6078600000000001E-3</v>
      </c>
    </row>
    <row r="89" spans="3:10" x14ac:dyDescent="0.3">
      <c r="C89" s="2"/>
      <c r="I89" s="2">
        <v>1.1408099999999999E-2</v>
      </c>
      <c r="J89" s="2">
        <v>1.1408099999999999E-2</v>
      </c>
    </row>
    <row r="90" spans="3:10" x14ac:dyDescent="0.3">
      <c r="C90" s="2"/>
      <c r="I90" s="2">
        <v>5.7237999999999997E-2</v>
      </c>
      <c r="J90" s="2">
        <v>5.7237999999999997E-2</v>
      </c>
    </row>
    <row r="91" spans="3:10" x14ac:dyDescent="0.3">
      <c r="C91" s="2"/>
      <c r="I91" s="2">
        <v>0.59849300000000005</v>
      </c>
      <c r="J91" s="2">
        <v>0.59849200000000002</v>
      </c>
    </row>
    <row r="92" spans="3:10" x14ac:dyDescent="0.3">
      <c r="C92" s="2"/>
      <c r="I92" s="2">
        <v>7.4965699999999997E-7</v>
      </c>
      <c r="J92" s="2">
        <v>7.4965699999999997E-7</v>
      </c>
    </row>
    <row r="93" spans="3:10" x14ac:dyDescent="0.3">
      <c r="C93" s="2"/>
      <c r="I93" s="2">
        <v>0.24122499999999999</v>
      </c>
      <c r="J93" s="2">
        <v>0.24122499999999999</v>
      </c>
    </row>
    <row r="94" spans="3:10" x14ac:dyDescent="0.3">
      <c r="C94" s="2"/>
      <c r="I94" s="2">
        <v>0.17282600000000001</v>
      </c>
      <c r="J94" s="2">
        <v>0.17282700000000001</v>
      </c>
    </row>
    <row r="95" spans="3:10" x14ac:dyDescent="0.3">
      <c r="C95" s="2"/>
      <c r="I95" s="2">
        <v>7.9852999999999993E-2</v>
      </c>
      <c r="J95" s="2">
        <v>7.9852900000000004E-2</v>
      </c>
    </row>
    <row r="96" spans="3:10" x14ac:dyDescent="0.3">
      <c r="C96" s="2"/>
      <c r="I96" s="2">
        <v>3.9760200000000002E-3</v>
      </c>
      <c r="J96" s="2">
        <v>3.9760300000000002E-3</v>
      </c>
    </row>
    <row r="97" spans="3:10" x14ac:dyDescent="0.3">
      <c r="C97" s="2"/>
      <c r="I97" s="2">
        <v>0.11769499999999999</v>
      </c>
      <c r="J97" s="2">
        <v>0.117696</v>
      </c>
    </row>
    <row r="98" spans="3:10" x14ac:dyDescent="0.3">
      <c r="C98" s="2"/>
      <c r="I98" s="2">
        <v>6.69155E-5</v>
      </c>
      <c r="J98" s="2">
        <v>6.6915400000000006E-5</v>
      </c>
    </row>
    <row r="99" spans="3:10" x14ac:dyDescent="0.3">
      <c r="I99" s="2">
        <v>1.85587E-4</v>
      </c>
      <c r="J99" s="2">
        <v>1.8558600000000001E-4</v>
      </c>
    </row>
    <row r="100" spans="3:10" x14ac:dyDescent="0.3">
      <c r="I100" s="2">
        <v>1.82749E-2</v>
      </c>
      <c r="J100" s="2">
        <v>1.82749E-2</v>
      </c>
    </row>
    <row r="101" spans="3:10" x14ac:dyDescent="0.3">
      <c r="I101" s="2">
        <v>13.3108</v>
      </c>
      <c r="J101" s="2">
        <v>13.3108</v>
      </c>
    </row>
    <row r="102" spans="3:10" x14ac:dyDescent="0.3">
      <c r="I102" s="2">
        <v>8.2482000000000006</v>
      </c>
      <c r="J102" s="2">
        <v>8.2482299999999995</v>
      </c>
    </row>
    <row r="103" spans="3:10" x14ac:dyDescent="0.3">
      <c r="I103" s="2">
        <v>6.6058000000000003E-6</v>
      </c>
      <c r="J103" s="2">
        <v>6.6058000000000003E-6</v>
      </c>
    </row>
    <row r="104" spans="3:10" x14ac:dyDescent="0.3">
      <c r="I104" s="2">
        <v>1.2684299999999999</v>
      </c>
      <c r="J104" s="2">
        <v>1.2684299999999999</v>
      </c>
    </row>
    <row r="105" spans="3:10" x14ac:dyDescent="0.3">
      <c r="I105" s="2">
        <v>1.6567599999999998E-2</v>
      </c>
      <c r="J105" s="2">
        <v>1.6567599999999998E-2</v>
      </c>
    </row>
    <row r="106" spans="3:10" x14ac:dyDescent="0.3">
      <c r="I106" s="2">
        <v>1.1816700000000001E-6</v>
      </c>
      <c r="J106" s="2">
        <v>1.1816700000000001E-6</v>
      </c>
    </row>
    <row r="107" spans="3:10" x14ac:dyDescent="0.3">
      <c r="I107" s="2">
        <v>-3.9107500000000003E-30</v>
      </c>
      <c r="J107" s="2">
        <v>-4.0597700000000002E-33</v>
      </c>
    </row>
    <row r="108" spans="3:10" x14ac:dyDescent="0.3">
      <c r="I108" s="2">
        <v>1.6586900000000002E-11</v>
      </c>
      <c r="J108" s="2">
        <v>1.6586900000000002E-11</v>
      </c>
    </row>
    <row r="109" spans="3:10" x14ac:dyDescent="0.3">
      <c r="I109" s="2">
        <v>1.1156299999999999E-2</v>
      </c>
      <c r="J109" s="2">
        <v>1.1156299999999999E-2</v>
      </c>
    </row>
    <row r="110" spans="3:10" x14ac:dyDescent="0.3">
      <c r="I110" s="2">
        <v>5.96672E-3</v>
      </c>
      <c r="J110" s="2">
        <v>5.96673E-3</v>
      </c>
    </row>
    <row r="111" spans="3:10" x14ac:dyDescent="0.3">
      <c r="I111" s="2">
        <v>3.7609999999999997E-9</v>
      </c>
      <c r="J111" s="2">
        <v>3.7609999999999997E-9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README</vt:lpstr>
      <vt:lpstr>sAntonio</vt:lpstr>
      <vt:lpstr>UIT slurry senza acidi</vt:lpstr>
      <vt:lpstr>UIT slurry e mais continui</vt:lpstr>
      <vt:lpstr>UIT slurry mais tomato</vt:lpstr>
      <vt:lpstr>Sgo</vt:lpstr>
      <vt:lpstr>UIT slurry mais tomato 26.10</vt:lpstr>
      <vt:lpstr>UIT slurry mais tomato 11.01.24</vt:lpstr>
      <vt:lpstr>Batch inoculum</vt:lpstr>
      <vt:lpstr>UIT slurry mais tomato 24.01.24</vt:lpstr>
      <vt:lpstr>UIT slurry mais tomato 13.11.24</vt:lpstr>
      <vt:lpstr>UIT slurry mais tomato Carlos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Davide Carecci</cp:lastModifiedBy>
  <dcterms:created xsi:type="dcterms:W3CDTF">2023-07-06T10:09:48Z</dcterms:created>
  <dcterms:modified xsi:type="dcterms:W3CDTF">2025-06-09T20:22:48Z</dcterms:modified>
</cp:coreProperties>
</file>