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Initialization/"/>
    </mc:Choice>
  </mc:AlternateContent>
  <xr:revisionPtr revIDLastSave="0" documentId="8_{EFECE1EB-9BFE-4CC8-8AA4-8A7B94A6DD0F}" xr6:coauthVersionLast="47" xr6:coauthVersionMax="47" xr10:uidLastSave="{00000000-0000-0000-0000-000000000000}"/>
  <bookViews>
    <workbookView xWindow="1416" yWindow="936" windowWidth="21624" windowHeight="11304" tabRatio="650" firstSheet="6" activeTab="6" xr2:uid="{D43429E5-84FF-4EBD-9FF1-2D7B3DE3D65E}"/>
  </bookViews>
  <sheets>
    <sheet name="Template" sheetId="1" r:id="rId1"/>
    <sheet name="RES_20220413" sheetId="7" r:id="rId2"/>
    <sheet name="BMP_20220413_new" sheetId="11" r:id="rId3"/>
    <sheet name="BMP_20220413" sheetId="8" r:id="rId4"/>
    <sheet name="BMP_20220429" sheetId="12" r:id="rId5"/>
    <sheet name="HAc_20220401_F" sheetId="18" r:id="rId6"/>
    <sheet name="HAc_20220401_G" sheetId="6" r:id="rId7"/>
    <sheet name="HAc_20220506_H" sheetId="15" r:id="rId8"/>
    <sheet name="HPro_20220401_F" sheetId="19" r:id="rId9"/>
    <sheet name="HPro_20220401_G" sheetId="20" r:id="rId10"/>
    <sheet name="HPro_20220506_H" sheetId="16" r:id="rId11"/>
    <sheet name="Sheet1" sheetId="17" r:id="rId12"/>
  </sheets>
  <definedNames>
    <definedName name="s_h_ion" localSheetId="3">BMP_20220413!$C$51</definedName>
    <definedName name="s_h_ion" localSheetId="2">BMP_20220413_new!$C$51</definedName>
    <definedName name="s_h_ion" localSheetId="4">BMP_20220429!$C$51</definedName>
    <definedName name="s_h_ion" localSheetId="5">HAc_20220401_F!$C$51</definedName>
    <definedName name="s_h_ion" localSheetId="6">HAc_20220401_G!$C$51</definedName>
    <definedName name="s_h_ion" localSheetId="7">HAc_20220506_H!$C$51</definedName>
    <definedName name="s_h_ion" localSheetId="8">HPro_20220401_F!$C$51</definedName>
    <definedName name="s_h_ion" localSheetId="9">HPro_20220401_G!$C$51</definedName>
    <definedName name="s_h_ion" localSheetId="10">HPro_20220506_H!$C$51</definedName>
    <definedName name="s_h_ion" localSheetId="1">RES_20220413!$C$51</definedName>
    <definedName name="s_h_ion" localSheetId="0">Template!$C$51</definedName>
    <definedName name="solver_adj" localSheetId="3" hidden="1">BMP_20220413!$N$78</definedName>
    <definedName name="solver_adj" localSheetId="2" hidden="1">BMP_20220413_new!$N$78</definedName>
    <definedName name="solver_adj" localSheetId="4" hidden="1">BMP_20220429!$N$78</definedName>
    <definedName name="solver_adj" localSheetId="5" hidden="1">HAc_20220401_F!$N$78</definedName>
    <definedName name="solver_adj" localSheetId="6" hidden="1">HAc_20220401_G!$N$78</definedName>
    <definedName name="solver_adj" localSheetId="7" hidden="1">HAc_20220506_H!$N$78</definedName>
    <definedName name="solver_adj" localSheetId="8" hidden="1">HPro_20220401_F!$N$78</definedName>
    <definedName name="solver_adj" localSheetId="9" hidden="1">HPro_20220401_G!$N$78</definedName>
    <definedName name="solver_adj" localSheetId="10" hidden="1">HPro_20220506_H!$N$78</definedName>
    <definedName name="solver_adj" localSheetId="1" hidden="1">RES_20220413!$N$78</definedName>
    <definedName name="solver_adj" localSheetId="0" hidden="1">Template!$N$78</definedName>
    <definedName name="solver_cvg" localSheetId="3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2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4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5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6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7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8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9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10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0" hidden="1">"""""""""""""""""""""""""""""""""""""""""""""""""""""""""""""""0,0001"""""""""""""""""""""""""""""""""""""""""""""""""""""""""""""""</definedName>
    <definedName name="solver_drv" localSheetId="3" hidden="1">1</definedName>
    <definedName name="solver_drv" localSheetId="2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" hidden="1">1</definedName>
    <definedName name="solver_drv" localSheetId="0" hidden="1">1</definedName>
    <definedName name="solver_eng" localSheetId="3" hidden="1">1</definedName>
    <definedName name="solver_eng" localSheetId="2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" hidden="1">1</definedName>
    <definedName name="solver_eng" localSheetId="0" hidden="1">1</definedName>
    <definedName name="solver_est" localSheetId="3" hidden="1">1</definedName>
    <definedName name="solver_est" localSheetId="2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" hidden="1">1</definedName>
    <definedName name="solver_est" localSheetId="0" hidden="1">1</definedName>
    <definedName name="solver_itr" localSheetId="3" hidden="1">2147483647</definedName>
    <definedName name="solver_itr" localSheetId="2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" hidden="1">2147483647</definedName>
    <definedName name="solver_itr" localSheetId="0" hidden="1">2147483647</definedName>
    <definedName name="solver_mip" localSheetId="3" hidden="1">2147483647</definedName>
    <definedName name="solver_mip" localSheetId="2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" hidden="1">2147483647</definedName>
    <definedName name="solver_mip" localSheetId="0" hidden="1">2147483647</definedName>
    <definedName name="solver_mni" localSheetId="3" hidden="1">30</definedName>
    <definedName name="solver_mni" localSheetId="2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" hidden="1">30</definedName>
    <definedName name="solver_mni" localSheetId="0" hidden="1">30</definedName>
    <definedName name="solver_mrt" localSheetId="3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2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4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5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6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7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8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9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10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0" hidden="1">"""""""""""""""""""""""""""""""""""""""""""""""""""""""""""""""0,075"""""""""""""""""""""""""""""""""""""""""""""""""""""""""""""""</definedName>
    <definedName name="solver_msl" localSheetId="3" hidden="1">2</definedName>
    <definedName name="solver_msl" localSheetId="2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" hidden="1">2</definedName>
    <definedName name="solver_msl" localSheetId="0" hidden="1">2</definedName>
    <definedName name="solver_neg" localSheetId="3" hidden="1">1</definedName>
    <definedName name="solver_neg" localSheetId="2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" hidden="1">1</definedName>
    <definedName name="solver_neg" localSheetId="0" hidden="1">1</definedName>
    <definedName name="solver_nod" localSheetId="3" hidden="1">2147483647</definedName>
    <definedName name="solver_nod" localSheetId="2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" hidden="1">2147483647</definedName>
    <definedName name="solver_nod" localSheetId="0" hidden="1">2147483647</definedName>
    <definedName name="solver_num" localSheetId="3" hidden="1">0</definedName>
    <definedName name="solver_num" localSheetId="2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" hidden="1">0</definedName>
    <definedName name="solver_num" localSheetId="0" hidden="1">0</definedName>
    <definedName name="solver_nwt" localSheetId="3" hidden="1">1</definedName>
    <definedName name="solver_nwt" localSheetId="2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" hidden="1">1</definedName>
    <definedName name="solver_nwt" localSheetId="0" hidden="1">1</definedName>
    <definedName name="solver_opt" localSheetId="3" hidden="1">BMP_20220413!$N$77</definedName>
    <definedName name="solver_opt" localSheetId="2" hidden="1">BMP_20220413_new!$N$77</definedName>
    <definedName name="solver_opt" localSheetId="4" hidden="1">BMP_20220429!$N$77</definedName>
    <definedName name="solver_opt" localSheetId="5" hidden="1">HAc_20220401_F!$N$77</definedName>
    <definedName name="solver_opt" localSheetId="6" hidden="1">HAc_20220401_G!$N$77</definedName>
    <definedName name="solver_opt" localSheetId="7" hidden="1">HAc_20220506_H!$N$77</definedName>
    <definedName name="solver_opt" localSheetId="8" hidden="1">HPro_20220401_F!$N$77</definedName>
    <definedName name="solver_opt" localSheetId="9" hidden="1">HPro_20220401_G!$N$77</definedName>
    <definedName name="solver_opt" localSheetId="10" hidden="1">HPro_20220506_H!$N$77</definedName>
    <definedName name="solver_opt" localSheetId="1" hidden="1">RES_20220413!$N$77</definedName>
    <definedName name="solver_opt" localSheetId="0" hidden="1">Template!$N$77</definedName>
    <definedName name="solver_pre" localSheetId="3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2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4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5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6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7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8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9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10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0" hidden="1">"""""""""""""""""""""""""""""""""""""""""""""""""""""""""""""""0,000001"""""""""""""""""""""""""""""""""""""""""""""""""""""""""""""""</definedName>
    <definedName name="solver_rbv" localSheetId="3" hidden="1">2</definedName>
    <definedName name="solver_rbv" localSheetId="2" hidden="1">2</definedName>
    <definedName name="solver_rbv" localSheetId="4" hidden="1">2</definedName>
    <definedName name="solver_rbv" localSheetId="5" hidden="1">2</definedName>
    <definedName name="solver_rbv" localSheetId="6" hidden="1">2</definedName>
    <definedName name="solver_rbv" localSheetId="7" hidden="1">2</definedName>
    <definedName name="solver_rbv" localSheetId="8" hidden="1">2</definedName>
    <definedName name="solver_rbv" localSheetId="9" hidden="1">2</definedName>
    <definedName name="solver_rbv" localSheetId="10" hidden="1">2</definedName>
    <definedName name="solver_rbv" localSheetId="1" hidden="1">2</definedName>
    <definedName name="solver_rbv" localSheetId="0" hidden="1">2</definedName>
    <definedName name="solver_rlx" localSheetId="3" hidden="1">2</definedName>
    <definedName name="solver_rlx" localSheetId="2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" hidden="1">2</definedName>
    <definedName name="solver_rlx" localSheetId="0" hidden="1">2</definedName>
    <definedName name="solver_rsd" localSheetId="3" hidden="1">0</definedName>
    <definedName name="solver_rsd" localSheetId="2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" hidden="1">0</definedName>
    <definedName name="solver_rsd" localSheetId="0" hidden="1">0</definedName>
    <definedName name="solver_scl" localSheetId="3" hidden="1">2</definedName>
    <definedName name="solver_scl" localSheetId="2" hidden="1">2</definedName>
    <definedName name="solver_scl" localSheetId="4" hidden="1">2</definedName>
    <definedName name="solver_scl" localSheetId="5" hidden="1">2</definedName>
    <definedName name="solver_scl" localSheetId="6" hidden="1">2</definedName>
    <definedName name="solver_scl" localSheetId="7" hidden="1">2</definedName>
    <definedName name="solver_scl" localSheetId="8" hidden="1">2</definedName>
    <definedName name="solver_scl" localSheetId="9" hidden="1">2</definedName>
    <definedName name="solver_scl" localSheetId="10" hidden="1">2</definedName>
    <definedName name="solver_scl" localSheetId="1" hidden="1">2</definedName>
    <definedName name="solver_scl" localSheetId="0" hidden="1">2</definedName>
    <definedName name="solver_sho" localSheetId="3" hidden="1">2</definedName>
    <definedName name="solver_sho" localSheetId="2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" hidden="1">2</definedName>
    <definedName name="solver_sho" localSheetId="0" hidden="1">2</definedName>
    <definedName name="solver_ssz" localSheetId="3" hidden="1">0</definedName>
    <definedName name="solver_ssz" localSheetId="2" hidden="1">0</definedName>
    <definedName name="solver_ssz" localSheetId="4" hidden="1">0</definedName>
    <definedName name="solver_ssz" localSheetId="5" hidden="1">0</definedName>
    <definedName name="solver_ssz" localSheetId="6" hidden="1">0</definedName>
    <definedName name="solver_ssz" localSheetId="7" hidden="1">0</definedName>
    <definedName name="solver_ssz" localSheetId="8" hidden="1">0</definedName>
    <definedName name="solver_ssz" localSheetId="9" hidden="1">0</definedName>
    <definedName name="solver_ssz" localSheetId="10" hidden="1">0</definedName>
    <definedName name="solver_ssz" localSheetId="1" hidden="1">0</definedName>
    <definedName name="solver_ssz" localSheetId="0" hidden="1">0</definedName>
    <definedName name="solver_tim" localSheetId="3" hidden="1">2147483647</definedName>
    <definedName name="solver_tim" localSheetId="2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" hidden="1">2147483647</definedName>
    <definedName name="solver_tim" localSheetId="0" hidden="1">2147483647</definedName>
    <definedName name="solver_tol" localSheetId="3" hidden="1">1</definedName>
    <definedName name="solver_tol" localSheetId="2" hidden="1">1</definedName>
    <definedName name="solver_tol" localSheetId="4" hidden="1">1</definedName>
    <definedName name="solver_tol" localSheetId="5" hidden="1">1</definedName>
    <definedName name="solver_tol" localSheetId="6" hidden="1">1</definedName>
    <definedName name="solver_tol" localSheetId="7" hidden="1">1</definedName>
    <definedName name="solver_tol" localSheetId="8" hidden="1">1</definedName>
    <definedName name="solver_tol" localSheetId="9" hidden="1">1</definedName>
    <definedName name="solver_tol" localSheetId="10" hidden="1">1</definedName>
    <definedName name="solver_tol" localSheetId="1" hidden="1">1</definedName>
    <definedName name="solver_tol" localSheetId="0" hidden="1">1</definedName>
    <definedName name="solver_typ" localSheetId="3" hidden="1">3</definedName>
    <definedName name="solver_typ" localSheetId="2" hidden="1">3</definedName>
    <definedName name="solver_typ" localSheetId="4" hidden="1">3</definedName>
    <definedName name="solver_typ" localSheetId="5" hidden="1">3</definedName>
    <definedName name="solver_typ" localSheetId="6" hidden="1">3</definedName>
    <definedName name="solver_typ" localSheetId="7" hidden="1">3</definedName>
    <definedName name="solver_typ" localSheetId="8" hidden="1">3</definedName>
    <definedName name="solver_typ" localSheetId="9" hidden="1">3</definedName>
    <definedName name="solver_typ" localSheetId="10" hidden="1">3</definedName>
    <definedName name="solver_typ" localSheetId="1" hidden="1">3</definedName>
    <definedName name="solver_typ" localSheetId="0" hidden="1">3</definedName>
    <definedName name="solver_val" localSheetId="3" hidden="1">0</definedName>
    <definedName name="solver_val" localSheetId="2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" hidden="1">0</definedName>
    <definedName name="solver_val" localSheetId="0" hidden="1">0</definedName>
    <definedName name="solver_ver" localSheetId="3" hidden="1">3</definedName>
    <definedName name="solver_ver" localSheetId="2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0" i="20" l="1"/>
  <c r="H5" i="16"/>
  <c r="H5" i="18"/>
  <c r="J8" i="19"/>
  <c r="J8" i="16"/>
  <c r="J8" i="20"/>
  <c r="J8" i="15"/>
  <c r="J8" i="6"/>
  <c r="J8" i="18"/>
  <c r="B28" i="17"/>
  <c r="C28" i="17"/>
  <c r="B29" i="17"/>
  <c r="C29" i="17"/>
  <c r="B30" i="17"/>
  <c r="C30" i="17"/>
  <c r="B25" i="17"/>
  <c r="C25" i="17"/>
  <c r="B26" i="17"/>
  <c r="C26" i="17"/>
  <c r="B27" i="17"/>
  <c r="C27" i="17"/>
  <c r="C6" i="17"/>
  <c r="B6" i="17"/>
  <c r="A7" i="17"/>
  <c r="C7" i="17" s="1"/>
  <c r="U35" i="16"/>
  <c r="U34" i="16"/>
  <c r="U32" i="16"/>
  <c r="U31" i="16"/>
  <c r="U29" i="16"/>
  <c r="U28" i="16"/>
  <c r="U26" i="16"/>
  <c r="U25" i="16"/>
  <c r="U24" i="16"/>
  <c r="U22" i="16"/>
  <c r="U21" i="16"/>
  <c r="U20" i="16"/>
  <c r="U19" i="16"/>
  <c r="U18" i="16"/>
  <c r="U17" i="16"/>
  <c r="U16" i="16"/>
  <c r="U9" i="16"/>
  <c r="U8" i="16"/>
  <c r="U7" i="16"/>
  <c r="U6" i="16"/>
  <c r="U5" i="16"/>
  <c r="U4" i="16"/>
  <c r="U3" i="16"/>
  <c r="U2" i="16"/>
  <c r="U35" i="20"/>
  <c r="U34" i="20"/>
  <c r="U33" i="20"/>
  <c r="U32" i="20"/>
  <c r="U31" i="20"/>
  <c r="U29" i="20"/>
  <c r="U28" i="20"/>
  <c r="U26" i="20"/>
  <c r="U25" i="20"/>
  <c r="U24" i="20"/>
  <c r="U23" i="20"/>
  <c r="U22" i="20"/>
  <c r="U21" i="20"/>
  <c r="U20" i="20"/>
  <c r="U19" i="20"/>
  <c r="U18" i="20"/>
  <c r="U17" i="20"/>
  <c r="U16" i="20"/>
  <c r="U10" i="20"/>
  <c r="U9" i="20"/>
  <c r="U8" i="20"/>
  <c r="U7" i="20"/>
  <c r="U6" i="20"/>
  <c r="U5" i="20"/>
  <c r="U4" i="20"/>
  <c r="U3" i="20"/>
  <c r="U2" i="20"/>
  <c r="U35" i="19"/>
  <c r="U34" i="19"/>
  <c r="U32" i="19"/>
  <c r="U31" i="19"/>
  <c r="U29" i="19"/>
  <c r="U28" i="19"/>
  <c r="U26" i="19"/>
  <c r="U25" i="19"/>
  <c r="U24" i="19"/>
  <c r="U22" i="19"/>
  <c r="U21" i="19"/>
  <c r="U20" i="19"/>
  <c r="U19" i="19"/>
  <c r="U18" i="19"/>
  <c r="U17" i="19"/>
  <c r="U16" i="19"/>
  <c r="U10" i="19"/>
  <c r="U9" i="19"/>
  <c r="U8" i="19"/>
  <c r="U7" i="19"/>
  <c r="U6" i="19"/>
  <c r="U5" i="19"/>
  <c r="U4" i="19"/>
  <c r="U3" i="19"/>
  <c r="U2" i="19"/>
  <c r="U35" i="15"/>
  <c r="U34" i="15"/>
  <c r="U32" i="15"/>
  <c r="U31" i="15"/>
  <c r="U26" i="15"/>
  <c r="U25" i="15"/>
  <c r="U20" i="15"/>
  <c r="U19" i="15"/>
  <c r="U18" i="15"/>
  <c r="U17" i="15"/>
  <c r="U16" i="15"/>
  <c r="U9" i="15"/>
  <c r="U8" i="15"/>
  <c r="U7" i="15"/>
  <c r="U6" i="15"/>
  <c r="U5" i="15"/>
  <c r="U4" i="15"/>
  <c r="U3" i="15"/>
  <c r="U2" i="15"/>
  <c r="U35" i="6"/>
  <c r="U34" i="6"/>
  <c r="U32" i="6"/>
  <c r="U31" i="6"/>
  <c r="U29" i="6"/>
  <c r="U28" i="6"/>
  <c r="U26" i="6"/>
  <c r="U25" i="6"/>
  <c r="U23" i="6"/>
  <c r="U22" i="6"/>
  <c r="U21" i="6"/>
  <c r="U20" i="6"/>
  <c r="U19" i="6"/>
  <c r="U18" i="6"/>
  <c r="U17" i="6"/>
  <c r="U16" i="6"/>
  <c r="U9" i="6"/>
  <c r="U8" i="6"/>
  <c r="U7" i="6"/>
  <c r="U6" i="6"/>
  <c r="U5" i="6"/>
  <c r="U4" i="6"/>
  <c r="U3" i="6"/>
  <c r="U2" i="6"/>
  <c r="U2" i="18"/>
  <c r="U35" i="18"/>
  <c r="U34" i="18"/>
  <c r="U32" i="18"/>
  <c r="U31" i="18"/>
  <c r="U29" i="18"/>
  <c r="U28" i="18"/>
  <c r="U26" i="18"/>
  <c r="U25" i="18"/>
  <c r="U23" i="18"/>
  <c r="U22" i="18"/>
  <c r="U21" i="18"/>
  <c r="U20" i="18"/>
  <c r="U19" i="18"/>
  <c r="U18" i="18"/>
  <c r="U17" i="18"/>
  <c r="U16" i="18"/>
  <c r="U9" i="18"/>
  <c r="U8" i="18"/>
  <c r="U7" i="18"/>
  <c r="U6" i="18"/>
  <c r="U5" i="18"/>
  <c r="U4" i="18"/>
  <c r="U3" i="18"/>
  <c r="T30" i="20"/>
  <c r="U30" i="20" s="1"/>
  <c r="P59" i="20"/>
  <c r="L59" i="20"/>
  <c r="P52" i="20"/>
  <c r="L52" i="20"/>
  <c r="P47" i="20"/>
  <c r="L47" i="20"/>
  <c r="T29" i="20" s="1"/>
  <c r="P44" i="20"/>
  <c r="L44" i="20"/>
  <c r="P38" i="20"/>
  <c r="P43" i="20" s="1"/>
  <c r="L38" i="20"/>
  <c r="L43" i="20" s="1"/>
  <c r="P37" i="20"/>
  <c r="L37" i="20"/>
  <c r="P36" i="20"/>
  <c r="L36" i="20"/>
  <c r="P35" i="20"/>
  <c r="L35" i="20"/>
  <c r="P34" i="20"/>
  <c r="L34" i="20"/>
  <c r="T33" i="20"/>
  <c r="T28" i="20"/>
  <c r="P27" i="20"/>
  <c r="P28" i="20" s="1"/>
  <c r="P30" i="20" s="1"/>
  <c r="L27" i="20"/>
  <c r="P26" i="20"/>
  <c r="L26" i="20"/>
  <c r="P25" i="20"/>
  <c r="P33" i="20" s="1"/>
  <c r="L25" i="20"/>
  <c r="T24" i="20"/>
  <c r="T23" i="20"/>
  <c r="P23" i="20"/>
  <c r="P29" i="20" s="1"/>
  <c r="L23" i="20"/>
  <c r="T22" i="20"/>
  <c r="T21" i="20"/>
  <c r="H18" i="20"/>
  <c r="L39" i="20" s="1"/>
  <c r="H17" i="20"/>
  <c r="H16" i="20"/>
  <c r="H15" i="20"/>
  <c r="H14" i="20"/>
  <c r="H13" i="20"/>
  <c r="H12" i="20"/>
  <c r="H11" i="20"/>
  <c r="H10" i="20"/>
  <c r="H9" i="20"/>
  <c r="L40" i="20" s="1"/>
  <c r="B7" i="20"/>
  <c r="H5" i="20"/>
  <c r="B5" i="20"/>
  <c r="P24" i="20" s="1"/>
  <c r="B2" i="20"/>
  <c r="N80" i="19"/>
  <c r="T30" i="19" s="1"/>
  <c r="U30" i="19" s="1"/>
  <c r="P59" i="19"/>
  <c r="L59" i="19"/>
  <c r="P52" i="19"/>
  <c r="L52" i="19"/>
  <c r="P47" i="19"/>
  <c r="L47" i="19"/>
  <c r="T29" i="19" s="1"/>
  <c r="P44" i="19"/>
  <c r="L44" i="19"/>
  <c r="P38" i="19"/>
  <c r="P45" i="19" s="1"/>
  <c r="P46" i="19" s="1"/>
  <c r="L38" i="19"/>
  <c r="L45" i="19" s="1"/>
  <c r="L46" i="19" s="1"/>
  <c r="P37" i="19"/>
  <c r="L37" i="19"/>
  <c r="P36" i="19"/>
  <c r="L36" i="19"/>
  <c r="P35" i="19"/>
  <c r="L35" i="19"/>
  <c r="P34" i="19"/>
  <c r="L34" i="19"/>
  <c r="T33" i="19"/>
  <c r="U33" i="19" s="1"/>
  <c r="T28" i="19"/>
  <c r="P27" i="19"/>
  <c r="P28" i="19" s="1"/>
  <c r="L27" i="19"/>
  <c r="P26" i="19"/>
  <c r="L26" i="19"/>
  <c r="P25" i="19"/>
  <c r="P33" i="19" s="1"/>
  <c r="L25" i="19"/>
  <c r="T24" i="19"/>
  <c r="P24" i="19"/>
  <c r="L24" i="19"/>
  <c r="T23" i="19"/>
  <c r="U23" i="19" s="1"/>
  <c r="T22" i="19"/>
  <c r="T21" i="19"/>
  <c r="H18" i="19"/>
  <c r="P39" i="19" s="1"/>
  <c r="H17" i="19"/>
  <c r="H16" i="19"/>
  <c r="H15" i="19"/>
  <c r="H14" i="19"/>
  <c r="H13" i="19"/>
  <c r="H12" i="19"/>
  <c r="P43" i="19" s="1"/>
  <c r="H11" i="19"/>
  <c r="P42" i="19" s="1"/>
  <c r="H10" i="19"/>
  <c r="L41" i="19" s="1"/>
  <c r="H9" i="19"/>
  <c r="B7" i="19"/>
  <c r="H5" i="19"/>
  <c r="B5" i="19"/>
  <c r="B2" i="19"/>
  <c r="P23" i="19" s="1"/>
  <c r="L45" i="20" l="1"/>
  <c r="L46" i="20" s="1"/>
  <c r="L40" i="19"/>
  <c r="N63" i="19"/>
  <c r="P50" i="19"/>
  <c r="P48" i="20"/>
  <c r="P51" i="20" s="1"/>
  <c r="P42" i="20"/>
  <c r="P45" i="20"/>
  <c r="P46" i="20" s="1"/>
  <c r="P41" i="20"/>
  <c r="N68" i="20"/>
  <c r="A8" i="17"/>
  <c r="N72" i="19"/>
  <c r="L28" i="20"/>
  <c r="L29" i="20" s="1"/>
  <c r="T11" i="20" s="1"/>
  <c r="U11" i="20" s="1"/>
  <c r="L28" i="19"/>
  <c r="L32" i="19" s="1"/>
  <c r="L30" i="20"/>
  <c r="T12" i="20" s="1"/>
  <c r="U12" i="20" s="1"/>
  <c r="T10" i="20"/>
  <c r="P32" i="20"/>
  <c r="P31" i="20"/>
  <c r="L48" i="20"/>
  <c r="L51" i="20" s="1"/>
  <c r="L49" i="20"/>
  <c r="P49" i="20"/>
  <c r="P40" i="20"/>
  <c r="N65" i="20" s="1"/>
  <c r="P50" i="20"/>
  <c r="L41" i="20"/>
  <c r="L42" i="20"/>
  <c r="N67" i="20" s="1"/>
  <c r="N63" i="20"/>
  <c r="P39" i="20"/>
  <c r="L50" i="20"/>
  <c r="N69" i="20"/>
  <c r="N70" i="20" s="1"/>
  <c r="L24" i="20"/>
  <c r="T10" i="19"/>
  <c r="N73" i="19"/>
  <c r="N71" i="19"/>
  <c r="P29" i="19"/>
  <c r="P30" i="19"/>
  <c r="P31" i="19"/>
  <c r="P32" i="19"/>
  <c r="N64" i="19"/>
  <c r="L39" i="19"/>
  <c r="L50" i="19"/>
  <c r="P40" i="19"/>
  <c r="N65" i="19" s="1"/>
  <c r="P48" i="19"/>
  <c r="P49" i="19"/>
  <c r="L42" i="19"/>
  <c r="N67" i="19" s="1"/>
  <c r="L23" i="19"/>
  <c r="L48" i="19"/>
  <c r="L49" i="19"/>
  <c r="P41" i="19"/>
  <c r="N66" i="19" s="1"/>
  <c r="L43" i="19"/>
  <c r="N68" i="19" s="1"/>
  <c r="N72" i="20" l="1"/>
  <c r="L56" i="19"/>
  <c r="L51" i="19"/>
  <c r="N69" i="19"/>
  <c r="N70" i="19" s="1"/>
  <c r="N73" i="20"/>
  <c r="L31" i="19"/>
  <c r="L33" i="19"/>
  <c r="T15" i="19" s="1"/>
  <c r="U15" i="19" s="1"/>
  <c r="P51" i="19"/>
  <c r="P53" i="19" s="1"/>
  <c r="P54" i="19" s="1"/>
  <c r="T27" i="19" s="1"/>
  <c r="U27" i="19" s="1"/>
  <c r="P56" i="19"/>
  <c r="N66" i="20"/>
  <c r="A9" i="17"/>
  <c r="C8" i="17"/>
  <c r="B8" i="17"/>
  <c r="N74" i="19"/>
  <c r="L53" i="20"/>
  <c r="L54" i="20" s="1"/>
  <c r="L55" i="20" s="1"/>
  <c r="L33" i="20"/>
  <c r="T15" i="20" s="1"/>
  <c r="U15" i="20" s="1"/>
  <c r="L31" i="20"/>
  <c r="T13" i="20" s="1"/>
  <c r="U13" i="20" s="1"/>
  <c r="L32" i="20"/>
  <c r="T14" i="20" s="1"/>
  <c r="U14" i="20" s="1"/>
  <c r="L56" i="20"/>
  <c r="P53" i="20"/>
  <c r="P54" i="20" s="1"/>
  <c r="P56" i="20"/>
  <c r="N64" i="20"/>
  <c r="N71" i="20"/>
  <c r="P55" i="19"/>
  <c r="L53" i="19"/>
  <c r="L54" i="19" s="1"/>
  <c r="L55" i="19" s="1"/>
  <c r="L29" i="19"/>
  <c r="T11" i="19" s="1"/>
  <c r="U11" i="19" s="1"/>
  <c r="L30" i="19"/>
  <c r="T12" i="19" s="1"/>
  <c r="U12" i="19" s="1"/>
  <c r="T13" i="19"/>
  <c r="U13" i="19" s="1"/>
  <c r="T14" i="19"/>
  <c r="U14" i="19" s="1"/>
  <c r="N74" i="20" l="1"/>
  <c r="A10" i="17"/>
  <c r="C9" i="17"/>
  <c r="B9" i="17"/>
  <c r="P55" i="20"/>
  <c r="T27" i="20"/>
  <c r="U27" i="20" s="1"/>
  <c r="N75" i="19"/>
  <c r="N76" i="19" s="1"/>
  <c r="N77" i="19" l="1"/>
  <c r="A11" i="17"/>
  <c r="C10" i="17"/>
  <c r="B10" i="17"/>
  <c r="N75" i="20"/>
  <c r="N76" i="20" l="1"/>
  <c r="N77" i="20"/>
  <c r="A12" i="17"/>
  <c r="C11" i="17"/>
  <c r="B11" i="17"/>
  <c r="A13" i="17" l="1"/>
  <c r="C12" i="17"/>
  <c r="B12" i="17"/>
  <c r="A14" i="17" l="1"/>
  <c r="B13" i="17"/>
  <c r="C13" i="17"/>
  <c r="A15" i="17" l="1"/>
  <c r="B14" i="17"/>
  <c r="C14" i="17"/>
  <c r="A16" i="17" l="1"/>
  <c r="B15" i="17"/>
  <c r="C15" i="17"/>
  <c r="A17" i="17" l="1"/>
  <c r="B16" i="17"/>
  <c r="C16" i="17"/>
  <c r="A18" i="17" l="1"/>
  <c r="B17" i="17"/>
  <c r="C17" i="17"/>
  <c r="A19" i="17" l="1"/>
  <c r="B18" i="17"/>
  <c r="C18" i="17"/>
  <c r="A20" i="17" l="1"/>
  <c r="B19" i="17"/>
  <c r="C19" i="17"/>
  <c r="A21" i="17" l="1"/>
  <c r="C20" i="17"/>
  <c r="B20" i="17"/>
  <c r="A22" i="17" l="1"/>
  <c r="C21" i="17"/>
  <c r="B21" i="17"/>
  <c r="A23" i="17" l="1"/>
  <c r="C22" i="17"/>
  <c r="B22" i="17"/>
  <c r="A24" i="17" l="1"/>
  <c r="C23" i="17"/>
  <c r="B23" i="17"/>
  <c r="A26" i="17" l="1"/>
  <c r="C24" i="17"/>
  <c r="B24" i="17"/>
  <c r="A27" i="17" l="1"/>
  <c r="N80" i="18" l="1"/>
  <c r="P59" i="18"/>
  <c r="L59" i="18"/>
  <c r="P52" i="18"/>
  <c r="L52" i="18"/>
  <c r="P47" i="18"/>
  <c r="L47" i="18"/>
  <c r="T29" i="18" s="1"/>
  <c r="P44" i="18"/>
  <c r="L44" i="18"/>
  <c r="P38" i="18"/>
  <c r="L38" i="18"/>
  <c r="L43" i="18" s="1"/>
  <c r="N68" i="18" s="1"/>
  <c r="P37" i="18"/>
  <c r="L37" i="18"/>
  <c r="P36" i="18"/>
  <c r="L36" i="18"/>
  <c r="P35" i="18"/>
  <c r="L35" i="18"/>
  <c r="P34" i="18"/>
  <c r="L34" i="18"/>
  <c r="T33" i="18"/>
  <c r="U33" i="18" s="1"/>
  <c r="P30" i="18"/>
  <c r="T28" i="18"/>
  <c r="P28" i="18"/>
  <c r="P27" i="18"/>
  <c r="L27" i="18"/>
  <c r="U10" i="18" s="1"/>
  <c r="P26" i="18"/>
  <c r="L26" i="18"/>
  <c r="P25" i="18"/>
  <c r="P33" i="18" s="1"/>
  <c r="L25" i="18"/>
  <c r="T24" i="18"/>
  <c r="U24" i="18" s="1"/>
  <c r="P24" i="18"/>
  <c r="P32" i="18" s="1"/>
  <c r="T23" i="18"/>
  <c r="P23" i="18"/>
  <c r="P29" i="18" s="1"/>
  <c r="L23" i="18"/>
  <c r="T22" i="18"/>
  <c r="T21" i="18"/>
  <c r="H18" i="18"/>
  <c r="H17" i="18"/>
  <c r="H16" i="18"/>
  <c r="H15" i="18"/>
  <c r="H14" i="18"/>
  <c r="H13" i="18"/>
  <c r="H12" i="18"/>
  <c r="H11" i="18"/>
  <c r="H10" i="18"/>
  <c r="H9" i="18"/>
  <c r="B7" i="18"/>
  <c r="B5" i="18"/>
  <c r="L24" i="18" s="1"/>
  <c r="B2" i="18"/>
  <c r="L42" i="18" l="1"/>
  <c r="L45" i="18"/>
  <c r="L46" i="18" s="1"/>
  <c r="P43" i="18"/>
  <c r="N63" i="18"/>
  <c r="T30" i="18"/>
  <c r="U30" i="18" s="1"/>
  <c r="P42" i="18"/>
  <c r="N67" i="18" s="1"/>
  <c r="P41" i="18"/>
  <c r="N66" i="18" s="1"/>
  <c r="P45" i="18"/>
  <c r="P46" i="18" s="1"/>
  <c r="P40" i="18"/>
  <c r="P39" i="18"/>
  <c r="L28" i="18"/>
  <c r="L29" i="18" s="1"/>
  <c r="T11" i="18" s="1"/>
  <c r="U11" i="18" s="1"/>
  <c r="N73" i="18"/>
  <c r="L48" i="18"/>
  <c r="P31" i="18"/>
  <c r="P48" i="18"/>
  <c r="P51" i="18" s="1"/>
  <c r="L39" i="18"/>
  <c r="L49" i="18"/>
  <c r="P49" i="18"/>
  <c r="L40" i="18"/>
  <c r="L50" i="18"/>
  <c r="P50" i="18"/>
  <c r="L41" i="18"/>
  <c r="N65" i="18" l="1"/>
  <c r="L51" i="18"/>
  <c r="P63" i="18"/>
  <c r="N69" i="18"/>
  <c r="N64" i="18"/>
  <c r="N72" i="18"/>
  <c r="N71" i="18"/>
  <c r="N74" i="18" s="1"/>
  <c r="N70" i="18"/>
  <c r="P53" i="18"/>
  <c r="L31" i="18"/>
  <c r="L32" i="18"/>
  <c r="T14" i="18" s="1"/>
  <c r="U14" i="18" s="1"/>
  <c r="L33" i="18"/>
  <c r="T15" i="18" s="1"/>
  <c r="U15" i="18" s="1"/>
  <c r="L53" i="18"/>
  <c r="L54" i="18" s="1"/>
  <c r="L55" i="18" s="1"/>
  <c r="T10" i="18"/>
  <c r="L30" i="18"/>
  <c r="T12" i="18" s="1"/>
  <c r="U12" i="18" s="1"/>
  <c r="L56" i="18"/>
  <c r="P56" i="18"/>
  <c r="T13" i="18"/>
  <c r="U13" i="18" s="1"/>
  <c r="P54" i="18" l="1"/>
  <c r="T27" i="18" s="1"/>
  <c r="N75" i="18" s="1"/>
  <c r="N77" i="18" s="1"/>
  <c r="P55" i="18"/>
  <c r="N76" i="18" l="1"/>
  <c r="U27" i="18"/>
  <c r="B7" i="17"/>
  <c r="T27" i="12" l="1"/>
  <c r="N80" i="16"/>
  <c r="T30" i="16" s="1"/>
  <c r="U30" i="16" s="1"/>
  <c r="P59" i="16"/>
  <c r="L59" i="16"/>
  <c r="P52" i="16"/>
  <c r="L52" i="16"/>
  <c r="P47" i="16"/>
  <c r="L47" i="16"/>
  <c r="P44" i="16"/>
  <c r="L44" i="16"/>
  <c r="P38" i="16"/>
  <c r="L38" i="16"/>
  <c r="L45" i="16" s="1"/>
  <c r="P37" i="16"/>
  <c r="L37" i="16"/>
  <c r="P36" i="16"/>
  <c r="L36" i="16"/>
  <c r="P35" i="16"/>
  <c r="L35" i="16"/>
  <c r="P34" i="16"/>
  <c r="L34" i="16"/>
  <c r="T33" i="16"/>
  <c r="U33" i="16" s="1"/>
  <c r="T29" i="16"/>
  <c r="T28" i="16"/>
  <c r="P27" i="16"/>
  <c r="P28" i="16" s="1"/>
  <c r="L27" i="16"/>
  <c r="P26" i="16"/>
  <c r="L26" i="16"/>
  <c r="P25" i="16"/>
  <c r="L25" i="16"/>
  <c r="T24" i="16"/>
  <c r="L24" i="16"/>
  <c r="T23" i="16"/>
  <c r="U23" i="16" s="1"/>
  <c r="L23" i="16"/>
  <c r="T22" i="16"/>
  <c r="T21" i="16"/>
  <c r="H18" i="16"/>
  <c r="H17" i="16"/>
  <c r="H16" i="16"/>
  <c r="H15" i="16"/>
  <c r="H14" i="16"/>
  <c r="H13" i="16"/>
  <c r="H12" i="16"/>
  <c r="H11" i="16"/>
  <c r="H10" i="16"/>
  <c r="H9" i="16"/>
  <c r="B7" i="16"/>
  <c r="B5" i="16"/>
  <c r="P24" i="16" s="1"/>
  <c r="B2" i="16"/>
  <c r="P23" i="16" s="1"/>
  <c r="T10" i="12"/>
  <c r="U2" i="12"/>
  <c r="U2" i="8"/>
  <c r="L23" i="12"/>
  <c r="L26" i="12"/>
  <c r="L28" i="16" l="1"/>
  <c r="U10" i="16"/>
  <c r="L32" i="16"/>
  <c r="P42" i="16"/>
  <c r="P40" i="16"/>
  <c r="P41" i="16"/>
  <c r="P43" i="16"/>
  <c r="P50" i="16"/>
  <c r="P48" i="16"/>
  <c r="P49" i="16"/>
  <c r="P45" i="16"/>
  <c r="P46" i="16" s="1"/>
  <c r="P39" i="16"/>
  <c r="L33" i="16"/>
  <c r="L30" i="16"/>
  <c r="P33" i="16"/>
  <c r="P30" i="16"/>
  <c r="P29" i="16"/>
  <c r="P31" i="16"/>
  <c r="P32" i="16"/>
  <c r="T14" i="16"/>
  <c r="U14" i="16" s="1"/>
  <c r="T10" i="16"/>
  <c r="L46" i="16"/>
  <c r="L29" i="16"/>
  <c r="L31" i="16"/>
  <c r="L40" i="16"/>
  <c r="L42" i="16"/>
  <c r="L48" i="16"/>
  <c r="L50" i="16"/>
  <c r="N63" i="16"/>
  <c r="N72" i="16" s="1"/>
  <c r="L39" i="16"/>
  <c r="L41" i="16"/>
  <c r="L43" i="16"/>
  <c r="N68" i="16" s="1"/>
  <c r="L49" i="16"/>
  <c r="L51" i="16" s="1"/>
  <c r="L38" i="15"/>
  <c r="N80" i="15"/>
  <c r="T30" i="15" s="1"/>
  <c r="U30" i="15" s="1"/>
  <c r="P59" i="15"/>
  <c r="L59" i="15"/>
  <c r="P52" i="15"/>
  <c r="L52" i="15"/>
  <c r="P47" i="15"/>
  <c r="L47" i="15"/>
  <c r="T29" i="15" s="1"/>
  <c r="U29" i="15" s="1"/>
  <c r="P44" i="15"/>
  <c r="L44" i="15"/>
  <c r="P38" i="15"/>
  <c r="P37" i="15"/>
  <c r="L37" i="15"/>
  <c r="P36" i="15"/>
  <c r="L36" i="15"/>
  <c r="P35" i="15"/>
  <c r="L35" i="15"/>
  <c r="P34" i="15"/>
  <c r="L34" i="15"/>
  <c r="T33" i="15"/>
  <c r="U33" i="15" s="1"/>
  <c r="P27" i="15"/>
  <c r="P28" i="15" s="1"/>
  <c r="P26" i="15"/>
  <c r="P25" i="15"/>
  <c r="P33" i="15" s="1"/>
  <c r="L25" i="15"/>
  <c r="T24" i="15"/>
  <c r="U24" i="15" s="1"/>
  <c r="T23" i="15"/>
  <c r="U23" i="15" s="1"/>
  <c r="T22" i="15"/>
  <c r="U22" i="15" s="1"/>
  <c r="T21" i="15"/>
  <c r="U21" i="15" s="1"/>
  <c r="H18" i="15"/>
  <c r="H17" i="15"/>
  <c r="H16" i="15"/>
  <c r="H15" i="15"/>
  <c r="H14" i="15"/>
  <c r="H13" i="15"/>
  <c r="H12" i="15"/>
  <c r="H11" i="15"/>
  <c r="H10" i="15"/>
  <c r="H9" i="15"/>
  <c r="B7" i="15"/>
  <c r="H5" i="15"/>
  <c r="H6" i="15" s="1"/>
  <c r="B5" i="15"/>
  <c r="P24" i="15" s="1"/>
  <c r="B2" i="15"/>
  <c r="P23" i="15" s="1"/>
  <c r="N77" i="12"/>
  <c r="P56" i="12"/>
  <c r="L56" i="12"/>
  <c r="N77" i="11"/>
  <c r="P56" i="11"/>
  <c r="L56" i="11"/>
  <c r="L56" i="8"/>
  <c r="T27" i="11"/>
  <c r="T27" i="8"/>
  <c r="P56" i="8"/>
  <c r="N77" i="8"/>
  <c r="N63" i="12"/>
  <c r="N75" i="12"/>
  <c r="T29" i="12"/>
  <c r="T28" i="12"/>
  <c r="P53" i="8"/>
  <c r="P54" i="8" s="1"/>
  <c r="L53" i="8"/>
  <c r="L54" i="8" s="1"/>
  <c r="T21" i="8"/>
  <c r="T21" i="12"/>
  <c r="N68" i="12"/>
  <c r="N67" i="12"/>
  <c r="N73" i="12"/>
  <c r="N76" i="12"/>
  <c r="N63" i="15" l="1"/>
  <c r="N66" i="16"/>
  <c r="P49" i="15"/>
  <c r="P51" i="16"/>
  <c r="N65" i="16"/>
  <c r="N67" i="16"/>
  <c r="P41" i="15"/>
  <c r="P43" i="15"/>
  <c r="P53" i="16"/>
  <c r="P54" i="16" s="1"/>
  <c r="P55" i="16" s="1"/>
  <c r="P39" i="15"/>
  <c r="P50" i="15"/>
  <c r="P45" i="15"/>
  <c r="P46" i="15" s="1"/>
  <c r="T12" i="16"/>
  <c r="U12" i="16" s="1"/>
  <c r="T15" i="16"/>
  <c r="U15" i="16" s="1"/>
  <c r="N64" i="16"/>
  <c r="N73" i="16"/>
  <c r="T13" i="16"/>
  <c r="U13" i="16" s="1"/>
  <c r="N69" i="16"/>
  <c r="N70" i="16" s="1"/>
  <c r="L53" i="16"/>
  <c r="L54" i="16" s="1"/>
  <c r="L55" i="16" s="1"/>
  <c r="N71" i="16"/>
  <c r="N74" i="16" s="1"/>
  <c r="T11" i="16"/>
  <c r="U11" i="16" s="1"/>
  <c r="L45" i="15"/>
  <c r="L46" i="15" s="1"/>
  <c r="L48" i="15"/>
  <c r="P30" i="15"/>
  <c r="P29" i="15"/>
  <c r="P32" i="15"/>
  <c r="P31" i="15"/>
  <c r="L40" i="15"/>
  <c r="P42" i="15"/>
  <c r="L23" i="15"/>
  <c r="L24" i="15"/>
  <c r="T28" i="15"/>
  <c r="U28" i="15" s="1"/>
  <c r="L39" i="15"/>
  <c r="L41" i="15"/>
  <c r="L43" i="15"/>
  <c r="N68" i="15" s="1"/>
  <c r="L49" i="15"/>
  <c r="L42" i="15"/>
  <c r="L50" i="15"/>
  <c r="P40" i="15"/>
  <c r="P48" i="15"/>
  <c r="N66" i="15" l="1"/>
  <c r="N65" i="15"/>
  <c r="P51" i="15"/>
  <c r="P56" i="16"/>
  <c r="T27" i="16"/>
  <c r="U27" i="16" s="1"/>
  <c r="P53" i="15"/>
  <c r="P54" i="15" s="1"/>
  <c r="L56" i="16"/>
  <c r="L51" i="15"/>
  <c r="L53" i="15" s="1"/>
  <c r="L54" i="15" s="1"/>
  <c r="N69" i="15"/>
  <c r="N70" i="15" s="1"/>
  <c r="L26" i="15"/>
  <c r="L27" i="15" s="1"/>
  <c r="U10" i="15" s="1"/>
  <c r="N64" i="15"/>
  <c r="N71" i="15"/>
  <c r="N72" i="15"/>
  <c r="N67" i="15"/>
  <c r="N73" i="15"/>
  <c r="P56" i="15" l="1"/>
  <c r="N75" i="16"/>
  <c r="N77" i="16" s="1"/>
  <c r="P55" i="15"/>
  <c r="T27" i="15"/>
  <c r="U27" i="15" s="1"/>
  <c r="L55" i="15"/>
  <c r="N74" i="15"/>
  <c r="L56" i="15"/>
  <c r="L28" i="15"/>
  <c r="T10" i="15" s="1"/>
  <c r="N76" i="16" l="1"/>
  <c r="N75" i="15"/>
  <c r="N77" i="15" s="1"/>
  <c r="L33" i="15"/>
  <c r="T15" i="15" s="1"/>
  <c r="U15" i="15" s="1"/>
  <c r="L32" i="15"/>
  <c r="T14" i="15" s="1"/>
  <c r="U14" i="15" s="1"/>
  <c r="L30" i="15"/>
  <c r="T12" i="15" s="1"/>
  <c r="U12" i="15" s="1"/>
  <c r="L31" i="15"/>
  <c r="T13" i="15" s="1"/>
  <c r="U13" i="15" s="1"/>
  <c r="L29" i="15"/>
  <c r="T11" i="15" s="1"/>
  <c r="U11" i="15" s="1"/>
  <c r="N76" i="15" l="1"/>
  <c r="H5" i="12" l="1"/>
  <c r="U35" i="12"/>
  <c r="U34" i="12"/>
  <c r="U33" i="12"/>
  <c r="U32" i="12"/>
  <c r="U31" i="12"/>
  <c r="U29" i="12"/>
  <c r="U28" i="12"/>
  <c r="U27" i="12"/>
  <c r="U26" i="12"/>
  <c r="U25" i="12"/>
  <c r="U24" i="12"/>
  <c r="U23" i="12"/>
  <c r="U22" i="12"/>
  <c r="U21" i="12"/>
  <c r="U20" i="12"/>
  <c r="U19" i="12"/>
  <c r="U18" i="12"/>
  <c r="U17" i="12"/>
  <c r="U16" i="12"/>
  <c r="U9" i="12"/>
  <c r="U8" i="12"/>
  <c r="U7" i="12"/>
  <c r="U6" i="12"/>
  <c r="U5" i="12"/>
  <c r="U4" i="12"/>
  <c r="U3" i="12"/>
  <c r="N80" i="12" l="1"/>
  <c r="T30" i="12" s="1"/>
  <c r="U30" i="12" s="1"/>
  <c r="P59" i="12"/>
  <c r="L59" i="12"/>
  <c r="P52" i="12"/>
  <c r="L52" i="12"/>
  <c r="P47" i="12"/>
  <c r="L47" i="12"/>
  <c r="P44" i="12"/>
  <c r="P45" i="12" s="1"/>
  <c r="L44" i="12"/>
  <c r="P38" i="12"/>
  <c r="L38" i="12"/>
  <c r="L45" i="12" s="1"/>
  <c r="P37" i="12"/>
  <c r="L37" i="12"/>
  <c r="P36" i="12"/>
  <c r="L36" i="12"/>
  <c r="P35" i="12"/>
  <c r="L35" i="12"/>
  <c r="P34" i="12"/>
  <c r="L34" i="12"/>
  <c r="T33" i="12"/>
  <c r="P27" i="12"/>
  <c r="P28" i="12" s="1"/>
  <c r="P26" i="12"/>
  <c r="P25" i="12"/>
  <c r="L25" i="12"/>
  <c r="T24" i="12"/>
  <c r="P24" i="12"/>
  <c r="T23" i="12"/>
  <c r="P23" i="12"/>
  <c r="T22" i="12"/>
  <c r="L18" i="12"/>
  <c r="H18" i="12"/>
  <c r="P39" i="12" s="1"/>
  <c r="H17" i="12"/>
  <c r="P50" i="12" s="1"/>
  <c r="H16" i="12"/>
  <c r="P49" i="12" s="1"/>
  <c r="H15" i="12"/>
  <c r="P48" i="12" s="1"/>
  <c r="H14" i="12"/>
  <c r="H13" i="12"/>
  <c r="H12" i="12"/>
  <c r="P43" i="12" s="1"/>
  <c r="H11" i="12"/>
  <c r="P42" i="12" s="1"/>
  <c r="H10" i="12"/>
  <c r="P41" i="12" s="1"/>
  <c r="H9" i="12"/>
  <c r="P40" i="12" s="1"/>
  <c r="B7" i="12"/>
  <c r="B5" i="12"/>
  <c r="L24" i="12" s="1"/>
  <c r="B2" i="12"/>
  <c r="P31" i="12" l="1"/>
  <c r="P30" i="12"/>
  <c r="P29" i="12"/>
  <c r="P32" i="12"/>
  <c r="P51" i="12"/>
  <c r="L27" i="12"/>
  <c r="P33" i="12"/>
  <c r="L46" i="12"/>
  <c r="L40" i="12"/>
  <c r="N65" i="12" s="1"/>
  <c r="L42" i="12"/>
  <c r="L48" i="12"/>
  <c r="L50" i="12"/>
  <c r="P46" i="12"/>
  <c r="P53" i="12" s="1"/>
  <c r="P54" i="12" s="1"/>
  <c r="P55" i="12" s="1"/>
  <c r="N72" i="12"/>
  <c r="L39" i="12"/>
  <c r="L41" i="12"/>
  <c r="N66" i="12" s="1"/>
  <c r="L43" i="12"/>
  <c r="L49" i="12"/>
  <c r="L51" i="12" s="1"/>
  <c r="U10" i="12" l="1"/>
  <c r="L28" i="12"/>
  <c r="N64" i="12"/>
  <c r="N69" i="12"/>
  <c r="N70" i="12" s="1"/>
  <c r="L53" i="12"/>
  <c r="L54" i="12" s="1"/>
  <c r="N71" i="12"/>
  <c r="L55" i="12" l="1"/>
  <c r="L30" i="12"/>
  <c r="T12" i="12" s="1"/>
  <c r="U12" i="12" s="1"/>
  <c r="L33" i="12"/>
  <c r="T15" i="12" s="1"/>
  <c r="U15" i="12" s="1"/>
  <c r="L32" i="12"/>
  <c r="T14" i="12" s="1"/>
  <c r="U14" i="12" s="1"/>
  <c r="L29" i="12"/>
  <c r="T11" i="12" s="1"/>
  <c r="U11" i="12" s="1"/>
  <c r="L31" i="12"/>
  <c r="T13" i="12" s="1"/>
  <c r="U13" i="12" s="1"/>
  <c r="N74" i="12"/>
  <c r="U35" i="11" l="1"/>
  <c r="U34" i="11"/>
  <c r="U33" i="11"/>
  <c r="U32" i="11"/>
  <c r="U31" i="11"/>
  <c r="U26" i="11"/>
  <c r="U25" i="11"/>
  <c r="U20" i="11"/>
  <c r="U19" i="11"/>
  <c r="U18" i="11"/>
  <c r="U17" i="11"/>
  <c r="U16" i="11"/>
  <c r="U9" i="11"/>
  <c r="U8" i="11"/>
  <c r="U7" i="11"/>
  <c r="U6" i="11"/>
  <c r="U5" i="11"/>
  <c r="U4" i="11"/>
  <c r="U3" i="11"/>
  <c r="U2" i="11"/>
  <c r="H5" i="11"/>
  <c r="N80" i="11"/>
  <c r="T30" i="11" s="1"/>
  <c r="U30" i="11" s="1"/>
  <c r="P59" i="11"/>
  <c r="L59" i="11"/>
  <c r="P52" i="11"/>
  <c r="L52" i="11"/>
  <c r="P47" i="11"/>
  <c r="L47" i="11"/>
  <c r="P44" i="11"/>
  <c r="L44" i="11"/>
  <c r="L39" i="11"/>
  <c r="P38" i="11"/>
  <c r="P48" i="11" s="1"/>
  <c r="L38" i="11"/>
  <c r="P37" i="11"/>
  <c r="L37" i="11"/>
  <c r="P36" i="11"/>
  <c r="L36" i="11"/>
  <c r="P35" i="11"/>
  <c r="L35" i="11"/>
  <c r="P34" i="11"/>
  <c r="L34" i="11"/>
  <c r="T33" i="11"/>
  <c r="T29" i="11"/>
  <c r="U29" i="11" s="1"/>
  <c r="P27" i="11"/>
  <c r="P28" i="11" s="1"/>
  <c r="P26" i="11"/>
  <c r="P25" i="11"/>
  <c r="P33" i="11" s="1"/>
  <c r="L25" i="11"/>
  <c r="T24" i="11"/>
  <c r="U24" i="11" s="1"/>
  <c r="T23" i="11"/>
  <c r="U23" i="11" s="1"/>
  <c r="T22" i="11"/>
  <c r="U22" i="11" s="1"/>
  <c r="T21" i="11"/>
  <c r="U21" i="11" s="1"/>
  <c r="H18" i="11"/>
  <c r="P39" i="11" s="1"/>
  <c r="H17" i="11"/>
  <c r="P50" i="11" s="1"/>
  <c r="H16" i="11"/>
  <c r="H15" i="11"/>
  <c r="H14" i="11"/>
  <c r="H13" i="11"/>
  <c r="H12" i="11"/>
  <c r="H11" i="11"/>
  <c r="H10" i="11"/>
  <c r="P41" i="11" s="1"/>
  <c r="H9" i="11"/>
  <c r="B7" i="11"/>
  <c r="B5" i="11"/>
  <c r="P24" i="11" s="1"/>
  <c r="B2" i="11"/>
  <c r="P23" i="11" s="1"/>
  <c r="L47" i="8"/>
  <c r="L44" i="8"/>
  <c r="L26" i="8"/>
  <c r="L25" i="8"/>
  <c r="L24" i="8"/>
  <c r="L23" i="8"/>
  <c r="H5" i="8"/>
  <c r="H5" i="7"/>
  <c r="H5" i="6"/>
  <c r="H5" i="1"/>
  <c r="P43" i="11" l="1"/>
  <c r="P49" i="11"/>
  <c r="P51" i="11" s="1"/>
  <c r="N63" i="11"/>
  <c r="P45" i="11"/>
  <c r="P46" i="11" s="1"/>
  <c r="P53" i="11" s="1"/>
  <c r="P54" i="11" s="1"/>
  <c r="L45" i="11"/>
  <c r="P30" i="11"/>
  <c r="P29" i="11"/>
  <c r="P31" i="11"/>
  <c r="P32" i="11"/>
  <c r="L40" i="11"/>
  <c r="L46" i="11"/>
  <c r="L50" i="11"/>
  <c r="P42" i="11"/>
  <c r="L23" i="11"/>
  <c r="L26" i="11" s="1"/>
  <c r="L27" i="11" s="1"/>
  <c r="L24" i="11"/>
  <c r="T28" i="11"/>
  <c r="U28" i="11" s="1"/>
  <c r="L41" i="11"/>
  <c r="N66" i="11" s="1"/>
  <c r="L43" i="11"/>
  <c r="N68" i="11" s="1"/>
  <c r="L49" i="11"/>
  <c r="L42" i="11"/>
  <c r="L48" i="11"/>
  <c r="P40" i="11"/>
  <c r="L27" i="8"/>
  <c r="L28" i="8" s="1"/>
  <c r="N65" i="11" l="1"/>
  <c r="L28" i="11"/>
  <c r="U10" i="11"/>
  <c r="P55" i="11"/>
  <c r="L53" i="11"/>
  <c r="L54" i="11" s="1"/>
  <c r="L30" i="11"/>
  <c r="T12" i="11" s="1"/>
  <c r="U12" i="11" s="1"/>
  <c r="L29" i="11"/>
  <c r="T11" i="11" s="1"/>
  <c r="U11" i="11" s="1"/>
  <c r="N72" i="11"/>
  <c r="N64" i="11"/>
  <c r="N71" i="11"/>
  <c r="L51" i="11"/>
  <c r="N73" i="11"/>
  <c r="N69" i="11"/>
  <c r="N70" i="11" s="1"/>
  <c r="N67" i="11"/>
  <c r="L32" i="11"/>
  <c r="T14" i="11" s="1"/>
  <c r="U14" i="11" s="1"/>
  <c r="L31" i="11"/>
  <c r="T13" i="11" s="1"/>
  <c r="U13" i="11" s="1"/>
  <c r="L30" i="8"/>
  <c r="L31" i="8"/>
  <c r="L33" i="8"/>
  <c r="L29" i="8"/>
  <c r="N74" i="11" l="1"/>
  <c r="L55" i="11"/>
  <c r="U27" i="11"/>
  <c r="T10" i="11"/>
  <c r="L33" i="11"/>
  <c r="T15" i="11" s="1"/>
  <c r="U15" i="11" s="1"/>
  <c r="N75" i="11" l="1"/>
  <c r="N76" i="11" s="1"/>
  <c r="T11" i="7"/>
  <c r="U4" i="7"/>
  <c r="U3" i="7"/>
  <c r="U2" i="7"/>
  <c r="U35" i="8"/>
  <c r="U34" i="8"/>
  <c r="U33" i="8"/>
  <c r="U32" i="8"/>
  <c r="U31" i="8"/>
  <c r="U26" i="8"/>
  <c r="U25" i="8"/>
  <c r="U22" i="8"/>
  <c r="U20" i="8"/>
  <c r="U19" i="8"/>
  <c r="U18" i="8"/>
  <c r="U17" i="8"/>
  <c r="U16" i="8"/>
  <c r="U9" i="8"/>
  <c r="U8" i="8"/>
  <c r="U7" i="8"/>
  <c r="U6" i="8"/>
  <c r="U5" i="8"/>
  <c r="U4" i="8"/>
  <c r="U3" i="8"/>
  <c r="U35" i="1"/>
  <c r="U34" i="1"/>
  <c r="U33" i="1"/>
  <c r="U32" i="1"/>
  <c r="U31" i="1"/>
  <c r="U30" i="1"/>
  <c r="U26" i="1"/>
  <c r="U25" i="1"/>
  <c r="U20" i="1"/>
  <c r="U19" i="1"/>
  <c r="U18" i="1"/>
  <c r="U17" i="1"/>
  <c r="U16" i="1"/>
  <c r="U10" i="1"/>
  <c r="U9" i="1"/>
  <c r="U8" i="1"/>
  <c r="U7" i="1"/>
  <c r="U6" i="1"/>
  <c r="U5" i="1"/>
  <c r="U4" i="1"/>
  <c r="U3" i="1"/>
  <c r="U2" i="1"/>
  <c r="U23" i="7"/>
  <c r="U5" i="7"/>
  <c r="U35" i="7"/>
  <c r="U34" i="7"/>
  <c r="U33" i="7"/>
  <c r="U32" i="7"/>
  <c r="U31" i="7"/>
  <c r="U29" i="7"/>
  <c r="U28" i="7"/>
  <c r="U27" i="7"/>
  <c r="U26" i="7"/>
  <c r="U25" i="7"/>
  <c r="U24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U7" i="7"/>
  <c r="U6" i="7"/>
  <c r="N80" i="8"/>
  <c r="T30" i="8" s="1"/>
  <c r="U30" i="8" s="1"/>
  <c r="P59" i="8"/>
  <c r="L59" i="8"/>
  <c r="P52" i="8"/>
  <c r="L52" i="8"/>
  <c r="P47" i="8"/>
  <c r="P44" i="8"/>
  <c r="P45" i="8" s="1"/>
  <c r="L45" i="8"/>
  <c r="P38" i="8"/>
  <c r="L38" i="8"/>
  <c r="L48" i="8" s="1"/>
  <c r="P37" i="8"/>
  <c r="L37" i="8"/>
  <c r="P36" i="8"/>
  <c r="L36" i="8"/>
  <c r="P35" i="8"/>
  <c r="L35" i="8"/>
  <c r="P34" i="8"/>
  <c r="L34" i="8"/>
  <c r="T33" i="8"/>
  <c r="T29" i="8"/>
  <c r="U29" i="8" s="1"/>
  <c r="P27" i="8"/>
  <c r="P28" i="8" s="1"/>
  <c r="P26" i="8"/>
  <c r="P25" i="8"/>
  <c r="T24" i="8"/>
  <c r="U24" i="8" s="1"/>
  <c r="T23" i="8"/>
  <c r="U23" i="8" s="1"/>
  <c r="T22" i="8"/>
  <c r="U21" i="8"/>
  <c r="L18" i="8"/>
  <c r="H18" i="8"/>
  <c r="P39" i="8" s="1"/>
  <c r="H17" i="8"/>
  <c r="P50" i="8" s="1"/>
  <c r="H16" i="8"/>
  <c r="P49" i="8" s="1"/>
  <c r="H15" i="8"/>
  <c r="P48" i="8" s="1"/>
  <c r="H14" i="8"/>
  <c r="H13" i="8"/>
  <c r="H12" i="8"/>
  <c r="P43" i="8" s="1"/>
  <c r="H11" i="8"/>
  <c r="P42" i="8" s="1"/>
  <c r="H10" i="8"/>
  <c r="P41" i="8" s="1"/>
  <c r="H9" i="8"/>
  <c r="P40" i="8" s="1"/>
  <c r="B7" i="8"/>
  <c r="B5" i="8"/>
  <c r="P24" i="8" s="1"/>
  <c r="B2" i="8"/>
  <c r="P23" i="8" s="1"/>
  <c r="P38" i="1"/>
  <c r="P39" i="1" s="1"/>
  <c r="L38" i="1"/>
  <c r="L39" i="1" s="1"/>
  <c r="L38" i="6"/>
  <c r="L39" i="6" s="1"/>
  <c r="P38" i="6"/>
  <c r="P39" i="6" s="1"/>
  <c r="P39" i="7"/>
  <c r="P38" i="7"/>
  <c r="L39" i="7"/>
  <c r="L38" i="7"/>
  <c r="N63" i="7" s="1"/>
  <c r="P27" i="1"/>
  <c r="P26" i="1"/>
  <c r="L26" i="1"/>
  <c r="L27" i="1" s="1"/>
  <c r="N80" i="7"/>
  <c r="T30" i="7" s="1"/>
  <c r="U30" i="7" s="1"/>
  <c r="P59" i="7"/>
  <c r="L59" i="7"/>
  <c r="P52" i="7"/>
  <c r="L52" i="7"/>
  <c r="P47" i="7"/>
  <c r="L47" i="7"/>
  <c r="P44" i="7"/>
  <c r="P45" i="7" s="1"/>
  <c r="L44" i="7"/>
  <c r="L45" i="7" s="1"/>
  <c r="P37" i="7"/>
  <c r="L37" i="7"/>
  <c r="P36" i="7"/>
  <c r="L36" i="7"/>
  <c r="P35" i="7"/>
  <c r="L35" i="7"/>
  <c r="P34" i="7"/>
  <c r="L34" i="7"/>
  <c r="T33" i="7"/>
  <c r="T29" i="7"/>
  <c r="P27" i="7"/>
  <c r="P28" i="7" s="1"/>
  <c r="L27" i="7"/>
  <c r="L28" i="7" s="1"/>
  <c r="T10" i="7" s="1"/>
  <c r="P26" i="7"/>
  <c r="L26" i="7"/>
  <c r="P25" i="7"/>
  <c r="P33" i="7" s="1"/>
  <c r="L25" i="7"/>
  <c r="L33" i="7" s="1"/>
  <c r="T15" i="7" s="1"/>
  <c r="T24" i="7"/>
  <c r="T23" i="7"/>
  <c r="T22" i="7"/>
  <c r="T21" i="7"/>
  <c r="H18" i="7"/>
  <c r="H17" i="7"/>
  <c r="P50" i="7" s="1"/>
  <c r="H16" i="7"/>
  <c r="P49" i="7" s="1"/>
  <c r="H15" i="7"/>
  <c r="P48" i="7" s="1"/>
  <c r="H14" i="7"/>
  <c r="H13" i="7"/>
  <c r="H12" i="7"/>
  <c r="P43" i="7" s="1"/>
  <c r="H11" i="7"/>
  <c r="P42" i="7" s="1"/>
  <c r="H10" i="7"/>
  <c r="P41" i="7" s="1"/>
  <c r="H9" i="7"/>
  <c r="P40" i="7" s="1"/>
  <c r="B7" i="7"/>
  <c r="B5" i="7"/>
  <c r="P24" i="7" s="1"/>
  <c r="B2" i="7"/>
  <c r="P23" i="7" s="1"/>
  <c r="P26" i="6"/>
  <c r="L26" i="6"/>
  <c r="L27" i="6"/>
  <c r="U10" i="6" s="1"/>
  <c r="N80" i="6"/>
  <c r="T30" i="6" s="1"/>
  <c r="U30" i="6" s="1"/>
  <c r="P59" i="6"/>
  <c r="L59" i="6"/>
  <c r="P52" i="6"/>
  <c r="L52" i="6"/>
  <c r="P47" i="6"/>
  <c r="L47" i="6"/>
  <c r="P44" i="6"/>
  <c r="L44" i="6"/>
  <c r="P37" i="6"/>
  <c r="L37" i="6"/>
  <c r="P36" i="6"/>
  <c r="L36" i="6"/>
  <c r="P35" i="6"/>
  <c r="L35" i="6"/>
  <c r="P34" i="6"/>
  <c r="L34" i="6"/>
  <c r="T33" i="6"/>
  <c r="U33" i="6" s="1"/>
  <c r="T29" i="6"/>
  <c r="P27" i="6"/>
  <c r="P25" i="6"/>
  <c r="L25" i="6"/>
  <c r="T24" i="6"/>
  <c r="U24" i="6" s="1"/>
  <c r="T23" i="6"/>
  <c r="T22" i="6"/>
  <c r="T21" i="6"/>
  <c r="H18" i="6"/>
  <c r="H17" i="6"/>
  <c r="H16" i="6"/>
  <c r="H15" i="6"/>
  <c r="H14" i="6"/>
  <c r="H13" i="6"/>
  <c r="H12" i="6"/>
  <c r="H11" i="6"/>
  <c r="H10" i="6"/>
  <c r="H9" i="6"/>
  <c r="B7" i="6"/>
  <c r="B5" i="6"/>
  <c r="P24" i="6" s="1"/>
  <c r="B2" i="6"/>
  <c r="P23" i="6" s="1"/>
  <c r="T33" i="1"/>
  <c r="P41" i="6" l="1"/>
  <c r="P40" i="6"/>
  <c r="P43" i="6"/>
  <c r="P42" i="6"/>
  <c r="P49" i="6"/>
  <c r="P45" i="6"/>
  <c r="P46" i="6" s="1"/>
  <c r="P33" i="8"/>
  <c r="P30" i="8"/>
  <c r="P29" i="8"/>
  <c r="P31" i="8"/>
  <c r="P32" i="8"/>
  <c r="P51" i="8"/>
  <c r="L46" i="8"/>
  <c r="L50" i="8"/>
  <c r="N63" i="8"/>
  <c r="N73" i="8" s="1"/>
  <c r="P46" i="8"/>
  <c r="P55" i="8" s="1"/>
  <c r="L40" i="8"/>
  <c r="N65" i="8" s="1"/>
  <c r="L42" i="8"/>
  <c r="N67" i="8" s="1"/>
  <c r="T28" i="8"/>
  <c r="U28" i="8" s="1"/>
  <c r="L39" i="8"/>
  <c r="L41" i="8"/>
  <c r="N66" i="8" s="1"/>
  <c r="L43" i="8"/>
  <c r="N68" i="8" s="1"/>
  <c r="L49" i="8"/>
  <c r="L51" i="8" s="1"/>
  <c r="N63" i="6"/>
  <c r="N71" i="7"/>
  <c r="P56" i="7"/>
  <c r="P51" i="7"/>
  <c r="P30" i="7"/>
  <c r="P29" i="7"/>
  <c r="P32" i="7"/>
  <c r="P31" i="7"/>
  <c r="L40" i="7"/>
  <c r="L46" i="7"/>
  <c r="L50" i="7"/>
  <c r="P46" i="7"/>
  <c r="P53" i="7" s="1"/>
  <c r="P54" i="7" s="1"/>
  <c r="N64" i="7"/>
  <c r="N72" i="7"/>
  <c r="L23" i="7"/>
  <c r="L24" i="7"/>
  <c r="T28" i="7"/>
  <c r="L41" i="7"/>
  <c r="N66" i="7" s="1"/>
  <c r="L43" i="7"/>
  <c r="N68" i="7" s="1"/>
  <c r="L49" i="7"/>
  <c r="N73" i="7"/>
  <c r="L42" i="7"/>
  <c r="N67" i="7" s="1"/>
  <c r="L48" i="7"/>
  <c r="L51" i="7" s="1"/>
  <c r="L45" i="6"/>
  <c r="L46" i="6" s="1"/>
  <c r="P28" i="6"/>
  <c r="L40" i="6"/>
  <c r="N65" i="6" s="1"/>
  <c r="L42" i="6"/>
  <c r="N67" i="6" s="1"/>
  <c r="L48" i="6"/>
  <c r="L50" i="6"/>
  <c r="P50" i="6"/>
  <c r="L23" i="6"/>
  <c r="L24" i="6"/>
  <c r="T28" i="6"/>
  <c r="L41" i="6"/>
  <c r="N66" i="6" s="1"/>
  <c r="L43" i="6"/>
  <c r="N68" i="6" s="1"/>
  <c r="L49" i="6"/>
  <c r="P48" i="6"/>
  <c r="N71" i="6" l="1"/>
  <c r="N73" i="6"/>
  <c r="P51" i="6"/>
  <c r="N64" i="8"/>
  <c r="N69" i="8"/>
  <c r="N70" i="8" s="1"/>
  <c r="N71" i="8"/>
  <c r="N72" i="8"/>
  <c r="U10" i="8"/>
  <c r="N64" i="6"/>
  <c r="N72" i="6"/>
  <c r="N74" i="6" s="1"/>
  <c r="P56" i="6"/>
  <c r="P53" i="6"/>
  <c r="P54" i="6" s="1"/>
  <c r="N65" i="7"/>
  <c r="L53" i="7"/>
  <c r="L54" i="7" s="1"/>
  <c r="L55" i="7" s="1"/>
  <c r="N74" i="7"/>
  <c r="P55" i="7"/>
  <c r="T27" i="7"/>
  <c r="L56" i="7"/>
  <c r="N69" i="7"/>
  <c r="L32" i="7"/>
  <c r="T14" i="7" s="1"/>
  <c r="L31" i="7"/>
  <c r="T13" i="7" s="1"/>
  <c r="L30" i="7"/>
  <c r="T12" i="7" s="1"/>
  <c r="L29" i="7"/>
  <c r="L51" i="6"/>
  <c r="L53" i="6" s="1"/>
  <c r="L54" i="6" s="1"/>
  <c r="P29" i="6"/>
  <c r="P32" i="6"/>
  <c r="P30" i="6"/>
  <c r="P31" i="6"/>
  <c r="P33" i="6"/>
  <c r="L56" i="6"/>
  <c r="N69" i="6"/>
  <c r="L55" i="8" l="1"/>
  <c r="U27" i="8"/>
  <c r="N74" i="8"/>
  <c r="P55" i="6"/>
  <c r="T27" i="6"/>
  <c r="U27" i="6" s="1"/>
  <c r="N77" i="7"/>
  <c r="N70" i="7"/>
  <c r="N75" i="7"/>
  <c r="N76" i="7" s="1"/>
  <c r="L28" i="6"/>
  <c r="L55" i="6"/>
  <c r="N70" i="6"/>
  <c r="N75" i="8" l="1"/>
  <c r="N76" i="8" s="1"/>
  <c r="T10" i="8"/>
  <c r="T15" i="8"/>
  <c r="U15" i="8" s="1"/>
  <c r="T11" i="8"/>
  <c r="U11" i="8" s="1"/>
  <c r="T13" i="8"/>
  <c r="U13" i="8" s="1"/>
  <c r="T12" i="8"/>
  <c r="U12" i="8" s="1"/>
  <c r="L32" i="8"/>
  <c r="T14" i="8" s="1"/>
  <c r="U14" i="8" s="1"/>
  <c r="T10" i="6"/>
  <c r="L33" i="6"/>
  <c r="T15" i="6" s="1"/>
  <c r="U15" i="6" s="1"/>
  <c r="L31" i="6"/>
  <c r="T13" i="6" s="1"/>
  <c r="U13" i="6" s="1"/>
  <c r="L30" i="6"/>
  <c r="T12" i="6" s="1"/>
  <c r="U12" i="6" s="1"/>
  <c r="L29" i="6"/>
  <c r="T11" i="6" s="1"/>
  <c r="U11" i="6" s="1"/>
  <c r="L32" i="6"/>
  <c r="T14" i="6" s="1"/>
  <c r="U14" i="6" s="1"/>
  <c r="N75" i="6"/>
  <c r="N76" i="6" l="1"/>
  <c r="N77" i="6"/>
  <c r="N80" i="1"/>
  <c r="T30" i="1" s="1"/>
  <c r="T24" i="1"/>
  <c r="U24" i="1" s="1"/>
  <c r="T23" i="1"/>
  <c r="U23" i="1" s="1"/>
  <c r="T22" i="1"/>
  <c r="U22" i="1" s="1"/>
  <c r="T21" i="1"/>
  <c r="U21" i="1" s="1"/>
  <c r="P59" i="1"/>
  <c r="P52" i="1"/>
  <c r="L52" i="1"/>
  <c r="P47" i="1"/>
  <c r="L47" i="1"/>
  <c r="P44" i="1"/>
  <c r="L44" i="1"/>
  <c r="P34" i="1"/>
  <c r="P25" i="1"/>
  <c r="P37" i="1"/>
  <c r="P36" i="1"/>
  <c r="P35" i="1"/>
  <c r="L37" i="1"/>
  <c r="L36" i="1"/>
  <c r="L35" i="1"/>
  <c r="L34" i="1"/>
  <c r="L59" i="1"/>
  <c r="L25" i="1"/>
  <c r="P49" i="1" l="1"/>
  <c r="P50" i="1"/>
  <c r="T28" i="1"/>
  <c r="U28" i="1" s="1"/>
  <c r="N63" i="1"/>
  <c r="T29" i="1"/>
  <c r="U29" i="1" s="1"/>
  <c r="N69" i="1" l="1"/>
  <c r="N71" i="1"/>
  <c r="H15" i="1" l="1"/>
  <c r="H16" i="1"/>
  <c r="N72" i="1" s="1"/>
  <c r="H17" i="1"/>
  <c r="L18" i="1"/>
  <c r="H10" i="1"/>
  <c r="H11" i="1"/>
  <c r="H12" i="1"/>
  <c r="H13" i="1"/>
  <c r="H14" i="1"/>
  <c r="N70" i="1" s="1"/>
  <c r="H18" i="1"/>
  <c r="N64" i="1" s="1"/>
  <c r="H9" i="1"/>
  <c r="B7" i="1"/>
  <c r="N73" i="1" l="1"/>
  <c r="N74" i="1" s="1"/>
  <c r="L49" i="1"/>
  <c r="L40" i="1"/>
  <c r="P40" i="1"/>
  <c r="L43" i="1"/>
  <c r="P43" i="1"/>
  <c r="P48" i="1"/>
  <c r="L48" i="1"/>
  <c r="L42" i="1"/>
  <c r="P42" i="1"/>
  <c r="L45" i="1"/>
  <c r="L46" i="1" s="1"/>
  <c r="P45" i="1"/>
  <c r="P46" i="1" s="1"/>
  <c r="L41" i="1"/>
  <c r="P41" i="1"/>
  <c r="L50" i="1"/>
  <c r="B5" i="1"/>
  <c r="B2" i="1"/>
  <c r="P56" i="1" l="1"/>
  <c r="N68" i="1"/>
  <c r="L51" i="1"/>
  <c r="L53" i="1" s="1"/>
  <c r="L54" i="1" s="1"/>
  <c r="L56" i="1"/>
  <c r="N66" i="1"/>
  <c r="N67" i="1"/>
  <c r="N65" i="1"/>
  <c r="P23" i="1"/>
  <c r="L23" i="1"/>
  <c r="P24" i="1"/>
  <c r="L24" i="1"/>
  <c r="P51" i="1"/>
  <c r="P53" i="1" s="1"/>
  <c r="P54" i="1" s="1"/>
  <c r="P55" i="1" s="1"/>
  <c r="N77" i="1" l="1"/>
  <c r="L55" i="1"/>
  <c r="T27" i="1"/>
  <c r="N75" i="1" l="1"/>
  <c r="N76" i="1" s="1"/>
  <c r="U27" i="1"/>
  <c r="P28" i="1"/>
  <c r="L28" i="1"/>
  <c r="P33" i="1" l="1"/>
  <c r="P29" i="1"/>
  <c r="T11" i="1" s="1"/>
  <c r="U11" i="1" s="1"/>
  <c r="P32" i="1"/>
  <c r="P31" i="1"/>
  <c r="P30" i="1"/>
  <c r="T10" i="1"/>
  <c r="L33" i="1"/>
  <c r="L32" i="1"/>
  <c r="T14" i="1" s="1"/>
  <c r="U14" i="1" s="1"/>
  <c r="L29" i="1"/>
  <c r="L31" i="1"/>
  <c r="L30" i="1"/>
  <c r="T13" i="1" l="1"/>
  <c r="U13" i="1" s="1"/>
  <c r="T12" i="1"/>
  <c r="U12" i="1" s="1"/>
  <c r="T15" i="1"/>
  <c r="U15" i="1" s="1"/>
</calcChain>
</file>

<file path=xl/sharedStrings.xml><?xml version="1.0" encoding="utf-8"?>
<sst xmlns="http://schemas.openxmlformats.org/spreadsheetml/2006/main" count="4354" uniqueCount="161">
  <si>
    <t>Fixed</t>
  </si>
  <si>
    <t>Test setting</t>
  </si>
  <si>
    <t>Feeding substrate properties</t>
  </si>
  <si>
    <t>Water plus nutrient properties</t>
  </si>
  <si>
    <t>Copy-Paste</t>
  </si>
  <si>
    <t>COD/Glucose =</t>
  </si>
  <si>
    <t>gCOD/gGlu</t>
  </si>
  <si>
    <t>assumed for this case</t>
  </si>
  <si>
    <t>V_water =</t>
  </si>
  <si>
    <t>mL</t>
  </si>
  <si>
    <t>B0 (BMP) =</t>
  </si>
  <si>
    <t>NmLCH4/gVS</t>
  </si>
  <si>
    <t>X_su =</t>
  </si>
  <si>
    <t>COD/BSA =</t>
  </si>
  <si>
    <t>gCOD/gBSA</t>
  </si>
  <si>
    <t>V_nutrients =</t>
  </si>
  <si>
    <t>VS_feed =</t>
  </si>
  <si>
    <t>gVS/kg</t>
  </si>
  <si>
    <t>X_aa =</t>
  </si>
  <si>
    <t>COD/VSpr =</t>
  </si>
  <si>
    <t>gCOD/gVS(pr)</t>
  </si>
  <si>
    <t>V_feed =</t>
  </si>
  <si>
    <t>density =</t>
  </si>
  <si>
    <t>g/L</t>
  </si>
  <si>
    <t>X_fa =</t>
  </si>
  <si>
    <r>
      <t>VSpr/Norg</t>
    </r>
    <r>
      <rPr>
        <vertAlign val="subscript"/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scheme val="minor"/>
      </rPr>
      <t>=</t>
    </r>
  </si>
  <si>
    <t>gVS(pr)/gN</t>
  </si>
  <si>
    <t>V_add =</t>
  </si>
  <si>
    <t>CH =</t>
  </si>
  <si>
    <t>mgGlu/gVS</t>
  </si>
  <si>
    <t>X_c4 =</t>
  </si>
  <si>
    <t>COD/VSlip =</t>
  </si>
  <si>
    <t>gCOD/gVS(lip)</t>
  </si>
  <si>
    <t>PR =</t>
  </si>
  <si>
    <t>mgNorg/gVS</t>
  </si>
  <si>
    <t>X_pro =</t>
  </si>
  <si>
    <t>Tamb =</t>
  </si>
  <si>
    <t>K</t>
  </si>
  <si>
    <t>Operative temperature</t>
  </si>
  <si>
    <t>LI =</t>
  </si>
  <si>
    <t>mglip/gVS</t>
  </si>
  <si>
    <t>X_ac =</t>
  </si>
  <si>
    <t>f_bm_test =</t>
  </si>
  <si>
    <t>-</t>
  </si>
  <si>
    <t>Calculated-common</t>
  </si>
  <si>
    <t>Ac =</t>
  </si>
  <si>
    <t>gCOD/L</t>
  </si>
  <si>
    <t>X_h2 =</t>
  </si>
  <si>
    <t>MW Acetate =</t>
  </si>
  <si>
    <t>g/mol</t>
  </si>
  <si>
    <t>Ka_ac =</t>
  </si>
  <si>
    <t>M</t>
  </si>
  <si>
    <t>Pro =</t>
  </si>
  <si>
    <t>X_c =</t>
  </si>
  <si>
    <t>MW Propionate =</t>
  </si>
  <si>
    <t>Ka_pro =</t>
  </si>
  <si>
    <t>Bu =</t>
  </si>
  <si>
    <t>X_i =</t>
  </si>
  <si>
    <t>MW Butyrate =</t>
  </si>
  <si>
    <t>Ka_bu =</t>
  </si>
  <si>
    <t>Va =</t>
  </si>
  <si>
    <t>X_ch_1 =</t>
  </si>
  <si>
    <t>MW Valerate =</t>
  </si>
  <si>
    <t>Ka_va =</t>
  </si>
  <si>
    <t>TAN =</t>
  </si>
  <si>
    <t>mgN/L</t>
  </si>
  <si>
    <t>X_ch_2 =</t>
  </si>
  <si>
    <t>MW CaCO3 =</t>
  </si>
  <si>
    <t>Ka_co2 =</t>
  </si>
  <si>
    <t>STP =</t>
  </si>
  <si>
    <t>mgP/L</t>
  </si>
  <si>
    <t>X_pr_1 =</t>
  </si>
  <si>
    <t>MW HCO3- =</t>
  </si>
  <si>
    <t>Ka_IN =</t>
  </si>
  <si>
    <t>pH =</t>
  </si>
  <si>
    <t>X_pr_2 =</t>
  </si>
  <si>
    <t>MW N =</t>
  </si>
  <si>
    <t>Ka_hpo4 =</t>
  </si>
  <si>
    <t>Alkalinity =</t>
  </si>
  <si>
    <t>mgCaCO3/L</t>
  </si>
  <si>
    <t>X_li =</t>
  </si>
  <si>
    <t>MW P =</t>
  </si>
  <si>
    <t>Ka_h2po4 =</t>
  </si>
  <si>
    <t>f_xi_ch =</t>
  </si>
  <si>
    <t>X_p =</t>
  </si>
  <si>
    <t>pKa_ac =</t>
  </si>
  <si>
    <t>Ka_h3po4 =</t>
  </si>
  <si>
    <t>f_xi_pr =</t>
  </si>
  <si>
    <t>S_i =</t>
  </si>
  <si>
    <t>pKa_pro =</t>
  </si>
  <si>
    <t>Ka_h2o =</t>
  </si>
  <si>
    <t>M2</t>
  </si>
  <si>
    <t>f_xi_li =</t>
  </si>
  <si>
    <t>S_su =</t>
  </si>
  <si>
    <t>pKa_bu =</t>
  </si>
  <si>
    <t>f_xch_s =</t>
  </si>
  <si>
    <t>pKa_va =</t>
  </si>
  <si>
    <t>f_xpr_s =</t>
  </si>
  <si>
    <t>S_fa =</t>
  </si>
  <si>
    <t>pKa_co2 =</t>
  </si>
  <si>
    <t>S_va =</t>
  </si>
  <si>
    <t>pKa_nh3 =</t>
  </si>
  <si>
    <t>Calculated-feeding substrate</t>
  </si>
  <si>
    <t>Calculated-Water plus nutrient</t>
  </si>
  <si>
    <t>S_bu =</t>
  </si>
  <si>
    <t>pKa_hpo4 =</t>
  </si>
  <si>
    <t>COD_CH =</t>
  </si>
  <si>
    <t>g COD/L</t>
  </si>
  <si>
    <t>S_pro =</t>
  </si>
  <si>
    <t>pKa_h2po4 =</t>
  </si>
  <si>
    <t>COD_PR =</t>
  </si>
  <si>
    <t>S_ac =</t>
  </si>
  <si>
    <t>pKa_h3po4 =</t>
  </si>
  <si>
    <t>COD_LI =</t>
  </si>
  <si>
    <t>S_h2 =</t>
  </si>
  <si>
    <t>pKa_h20 =</t>
  </si>
  <si>
    <t>CODtot =</t>
  </si>
  <si>
    <t>S_ch4 =</t>
  </si>
  <si>
    <t>COD/Acetate =</t>
  </si>
  <si>
    <t>gCOD/mol</t>
  </si>
  <si>
    <t>fd =</t>
  </si>
  <si>
    <t>S_ic =</t>
  </si>
  <si>
    <t>COD/Propionate =</t>
  </si>
  <si>
    <t>S_in =</t>
  </si>
  <si>
    <t>COD/Butyrate =</t>
  </si>
  <si>
    <t>S_ip =</t>
  </si>
  <si>
    <t>COD/Valerate =</t>
  </si>
  <si>
    <t>S_cat =</t>
  </si>
  <si>
    <t>S_ca =</t>
  </si>
  <si>
    <t>S_mg =</t>
  </si>
  <si>
    <t>S_an =</t>
  </si>
  <si>
    <t>ash =</t>
  </si>
  <si>
    <t>X_lig =</t>
  </si>
  <si>
    <t>S_h_ion =</t>
  </si>
  <si>
    <t>S_oh_ion =</t>
  </si>
  <si>
    <t>S_ac_ion =</t>
  </si>
  <si>
    <t>S_pro_ion =</t>
  </si>
  <si>
    <t>S_bu_ion =</t>
  </si>
  <si>
    <t>S_va_ion =</t>
  </si>
  <si>
    <t>S_nh4=</t>
  </si>
  <si>
    <t>S_nh3 =</t>
  </si>
  <si>
    <t>S_po4 =</t>
  </si>
  <si>
    <t>S_hpo4 =</t>
  </si>
  <si>
    <t>S_h2po4 =</t>
  </si>
  <si>
    <t>S_h3po4 =</t>
  </si>
  <si>
    <t>Alkalinity_M =</t>
  </si>
  <si>
    <t>S_hco3 =</t>
  </si>
  <si>
    <t>S_co2 =</t>
  </si>
  <si>
    <t>Charge Balance =</t>
  </si>
  <si>
    <t>set to 0 M</t>
  </si>
  <si>
    <t>delta =</t>
  </si>
  <si>
    <t>Calculated for S_cat and S_an</t>
  </si>
  <si>
    <t>S_aa =</t>
  </si>
  <si>
    <t>mu</t>
  </si>
  <si>
    <t>d-1</t>
  </si>
  <si>
    <t>ks</t>
  </si>
  <si>
    <t>kg/m3</t>
  </si>
  <si>
    <t>ki</t>
  </si>
  <si>
    <t>S</t>
  </si>
  <si>
    <t>Haldane</t>
  </si>
  <si>
    <t>Monod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</si>
</sst>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vertAlign val="subscript"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ourier New"/>
      <family val="3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rgb="FFFFCCCC"/>
        <bgColor indexed="24"/>
      </patternFill>
    </fill>
    <fill>
      <patternFill patternType="solid">
        <fgColor rgb="FFFF9999"/>
        <bgColor indexed="24"/>
      </patternFill>
    </fill>
    <fill>
      <patternFill patternType="solid">
        <fgColor rgb="FF99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24"/>
      </patternFill>
    </fill>
    <fill>
      <patternFill patternType="solid">
        <fgColor rgb="FFFFCC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ECFF"/>
        <bgColor indexed="9"/>
      </patternFill>
    </fill>
    <fill>
      <patternFill patternType="solid">
        <fgColor rgb="FFCCECFF"/>
        <bgColor indexed="46"/>
      </patternFill>
    </fill>
    <fill>
      <patternFill patternType="solid">
        <fgColor rgb="FFCCECFF"/>
        <bgColor indexed="2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right" vertical="center"/>
    </xf>
    <xf numFmtId="2" fontId="2" fillId="0" borderId="0" xfId="1" applyNumberFormat="1" applyFont="1" applyAlignment="1">
      <alignment vertical="center"/>
    </xf>
    <xf numFmtId="11" fontId="2" fillId="2" borderId="0" xfId="1" applyNumberFormat="1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2" fontId="2" fillId="3" borderId="0" xfId="1" applyNumberFormat="1" applyFont="1" applyFill="1" applyAlignment="1">
      <alignment vertical="center"/>
    </xf>
    <xf numFmtId="0" fontId="5" fillId="6" borderId="0" xfId="0" applyFont="1" applyFill="1" applyAlignment="1">
      <alignment vertical="center"/>
    </xf>
    <xf numFmtId="164" fontId="5" fillId="6" borderId="0" xfId="0" applyNumberFormat="1" applyFont="1" applyFill="1" applyAlignment="1">
      <alignment vertical="center"/>
    </xf>
    <xf numFmtId="1" fontId="5" fillId="6" borderId="0" xfId="0" applyNumberFormat="1" applyFont="1" applyFill="1" applyAlignment="1">
      <alignment vertical="center"/>
    </xf>
    <xf numFmtId="2" fontId="5" fillId="8" borderId="0" xfId="0" applyNumberFormat="1" applyFont="1" applyFill="1" applyAlignment="1">
      <alignment vertical="center"/>
    </xf>
    <xf numFmtId="1" fontId="2" fillId="9" borderId="0" xfId="1" applyNumberFormat="1" applyFont="1" applyFill="1" applyAlignment="1">
      <alignment vertical="center"/>
    </xf>
    <xf numFmtId="164" fontId="2" fillId="9" borderId="0" xfId="1" applyNumberFormat="1" applyFont="1" applyFill="1" applyAlignment="1">
      <alignment vertical="center"/>
    </xf>
    <xf numFmtId="2" fontId="2" fillId="9" borderId="0" xfId="1" applyNumberFormat="1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6" fillId="12" borderId="0" xfId="0" applyFont="1" applyFill="1" applyAlignment="1">
      <alignment vertical="center"/>
    </xf>
    <xf numFmtId="11" fontId="2" fillId="13" borderId="0" xfId="1" applyNumberFormat="1" applyFont="1" applyFill="1" applyAlignment="1">
      <alignment vertical="center"/>
    </xf>
    <xf numFmtId="11" fontId="2" fillId="14" borderId="0" xfId="1" applyNumberFormat="1" applyFont="1" applyFill="1" applyAlignment="1">
      <alignment vertical="center"/>
    </xf>
    <xf numFmtId="11" fontId="5" fillId="0" borderId="0" xfId="0" applyNumberFormat="1" applyFont="1" applyAlignment="1">
      <alignment vertical="center"/>
    </xf>
    <xf numFmtId="0" fontId="7" fillId="0" borderId="0" xfId="0" applyFont="1" applyAlignment="1">
      <alignment horizontal="right" vertical="center"/>
    </xf>
    <xf numFmtId="11" fontId="2" fillId="13" borderId="0" xfId="1" applyNumberFormat="1" applyFont="1" applyFill="1" applyAlignment="1">
      <alignment horizontal="right" vertical="center"/>
    </xf>
    <xf numFmtId="11" fontId="2" fillId="8" borderId="0" xfId="1" applyNumberFormat="1" applyFont="1" applyFill="1" applyAlignment="1">
      <alignment vertical="center"/>
    </xf>
    <xf numFmtId="167" fontId="5" fillId="0" borderId="0" xfId="0" applyNumberFormat="1" applyFont="1" applyAlignment="1">
      <alignment vertical="center"/>
    </xf>
    <xf numFmtId="165" fontId="5" fillId="8" borderId="0" xfId="0" applyNumberFormat="1" applyFont="1" applyFill="1" applyAlignment="1">
      <alignment vertical="center"/>
    </xf>
    <xf numFmtId="0" fontId="2" fillId="14" borderId="0" xfId="1" applyFont="1" applyFill="1" applyAlignment="1">
      <alignment vertical="center"/>
    </xf>
    <xf numFmtId="165" fontId="2" fillId="14" borderId="0" xfId="1" applyNumberFormat="1" applyFont="1" applyFill="1" applyAlignment="1">
      <alignment horizontal="right" vertical="center"/>
    </xf>
    <xf numFmtId="166" fontId="2" fillId="15" borderId="0" xfId="1" applyNumberFormat="1" applyFont="1" applyFill="1" applyAlignment="1">
      <alignment vertical="center"/>
    </xf>
    <xf numFmtId="1" fontId="5" fillId="0" borderId="0" xfId="0" applyNumberFormat="1" applyFont="1" applyAlignment="1">
      <alignment vertical="center"/>
    </xf>
    <xf numFmtId="164" fontId="5" fillId="16" borderId="0" xfId="0" applyNumberFormat="1" applyFont="1" applyFill="1" applyAlignment="1">
      <alignment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0" fontId="2" fillId="11" borderId="0" xfId="1" applyFont="1" applyFill="1" applyAlignment="1">
      <alignment horizontal="center" vertical="center"/>
    </xf>
    <xf numFmtId="0" fontId="2" fillId="7" borderId="0" xfId="1" applyFont="1" applyFill="1" applyAlignment="1">
      <alignment horizontal="center" vertical="center"/>
    </xf>
    <xf numFmtId="2" fontId="2" fillId="4" borderId="0" xfId="1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</cellXfs>
  <cellStyles count="2">
    <cellStyle name="Excel Built-in Normal" xfId="1" xr:uid="{F351E225-5888-45E5-B6A2-A8AF732613C4}"/>
    <cellStyle name="Normale" xfId="0" builtinId="0"/>
  </cellStyles>
  <dxfs count="0"/>
  <tableStyles count="0" defaultTableStyle="TableStyleMedium2" defaultPivotStyle="PivotStyleLight16"/>
  <colors>
    <mruColors>
      <color rgb="FFCCECFF"/>
      <color rgb="FFCCCCFF"/>
      <color rgb="FFFFFFCC"/>
      <color rgb="FFCC99FF"/>
      <color rgb="FFFFCCCC"/>
      <color rgb="FFCCFFCC"/>
      <color rgb="FF99FF99"/>
      <color rgb="FF99CC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Sheet1!$A$6:$A$30</c:f>
              <c:numCache>
                <c:formatCode>General</c:formatCode>
                <c:ptCount val="25"/>
                <c:pt idx="0">
                  <c:v>2</c:v>
                </c:pt>
                <c:pt idx="1">
                  <c:v>1.9</c:v>
                </c:pt>
                <c:pt idx="2">
                  <c:v>1.7999999999999998</c:v>
                </c:pt>
                <c:pt idx="3">
                  <c:v>1.6999999999999997</c:v>
                </c:pt>
                <c:pt idx="4">
                  <c:v>1.5999999999999996</c:v>
                </c:pt>
                <c:pt idx="5">
                  <c:v>1.4999999999999996</c:v>
                </c:pt>
                <c:pt idx="6">
                  <c:v>1.3999999999999995</c:v>
                </c:pt>
                <c:pt idx="7">
                  <c:v>1.2999999999999994</c:v>
                </c:pt>
                <c:pt idx="8">
                  <c:v>1.1999999999999993</c:v>
                </c:pt>
                <c:pt idx="9">
                  <c:v>1.0999999999999992</c:v>
                </c:pt>
                <c:pt idx="10">
                  <c:v>0.99999999999999922</c:v>
                </c:pt>
                <c:pt idx="11">
                  <c:v>0.89999999999999925</c:v>
                </c:pt>
                <c:pt idx="12">
                  <c:v>0.79999999999999927</c:v>
                </c:pt>
                <c:pt idx="13">
                  <c:v>0.69999999999999929</c:v>
                </c:pt>
                <c:pt idx="14">
                  <c:v>0.59999999999999931</c:v>
                </c:pt>
                <c:pt idx="15">
                  <c:v>0.49999999999999933</c:v>
                </c:pt>
                <c:pt idx="16">
                  <c:v>0.39999999999999936</c:v>
                </c:pt>
                <c:pt idx="17">
                  <c:v>0.29999999999999938</c:v>
                </c:pt>
                <c:pt idx="18">
                  <c:v>0.19999999999999937</c:v>
                </c:pt>
                <c:pt idx="19">
                  <c:v>0.15</c:v>
                </c:pt>
                <c:pt idx="20">
                  <c:v>9.9999999999999367E-2</c:v>
                </c:pt>
                <c:pt idx="21">
                  <c:v>4.9999999999999364E-2</c:v>
                </c:pt>
                <c:pt idx="22">
                  <c:v>2.5000000000000001E-2</c:v>
                </c:pt>
                <c:pt idx="23">
                  <c:v>0.02</c:v>
                </c:pt>
                <c:pt idx="24">
                  <c:v>0.01</c:v>
                </c:pt>
              </c:numCache>
            </c:numRef>
          </c:xVal>
          <c:yVal>
            <c:numRef>
              <c:f>Sheet1!$B$6:$B$30</c:f>
              <c:numCache>
                <c:formatCode>General</c:formatCode>
                <c:ptCount val="25"/>
                <c:pt idx="0">
                  <c:v>2.8368794326241136</c:v>
                </c:pt>
                <c:pt idx="1">
                  <c:v>2.9400386847195357</c:v>
                </c:pt>
                <c:pt idx="2">
                  <c:v>3.050847457627119</c:v>
                </c:pt>
                <c:pt idx="3">
                  <c:v>3.1701631701631703</c:v>
                </c:pt>
                <c:pt idx="4">
                  <c:v>3.2989690721649492</c:v>
                </c:pt>
                <c:pt idx="5">
                  <c:v>3.4383954154727796</c:v>
                </c:pt>
                <c:pt idx="6">
                  <c:v>3.5897435897435903</c:v>
                </c:pt>
                <c:pt idx="7">
                  <c:v>3.7545126353790619</c:v>
                </c:pt>
                <c:pt idx="8">
                  <c:v>3.9344262295081984</c:v>
                </c:pt>
                <c:pt idx="9">
                  <c:v>4.1314553990610348</c:v>
                </c:pt>
                <c:pt idx="10">
                  <c:v>4.3478260869565242</c:v>
                </c:pt>
                <c:pt idx="11">
                  <c:v>4.5859872611464993</c:v>
                </c:pt>
                <c:pt idx="12">
                  <c:v>4.8484848484848513</c:v>
                </c:pt>
                <c:pt idx="13">
                  <c:v>5.1376146788990855</c:v>
                </c:pt>
                <c:pt idx="14">
                  <c:v>5.4545454545454568</c:v>
                </c:pt>
                <c:pt idx="15">
                  <c:v>5.797101449275365</c:v>
                </c:pt>
                <c:pt idx="16">
                  <c:v>6.1538461538461569</c:v>
                </c:pt>
                <c:pt idx="17">
                  <c:v>6.4864864864864877</c:v>
                </c:pt>
                <c:pt idx="18">
                  <c:v>6.6666666666666679</c:v>
                </c:pt>
                <c:pt idx="19">
                  <c:v>6.5753424657534243</c:v>
                </c:pt>
                <c:pt idx="20">
                  <c:v>6.1538461538461453</c:v>
                </c:pt>
                <c:pt idx="21">
                  <c:v>4.8484848484848202</c:v>
                </c:pt>
                <c:pt idx="22">
                  <c:v>3.2989690721649483</c:v>
                </c:pt>
                <c:pt idx="23">
                  <c:v>2.8368794326241131</c:v>
                </c:pt>
                <c:pt idx="24">
                  <c:v>1.6632016632016631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F3-4984-A41A-CB8F94DC3D92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Sheet1!$A$6:$A$30</c:f>
              <c:numCache>
                <c:formatCode>General</c:formatCode>
                <c:ptCount val="25"/>
                <c:pt idx="0">
                  <c:v>2</c:v>
                </c:pt>
                <c:pt idx="1">
                  <c:v>1.9</c:v>
                </c:pt>
                <c:pt idx="2">
                  <c:v>1.7999999999999998</c:v>
                </c:pt>
                <c:pt idx="3">
                  <c:v>1.6999999999999997</c:v>
                </c:pt>
                <c:pt idx="4">
                  <c:v>1.5999999999999996</c:v>
                </c:pt>
                <c:pt idx="5">
                  <c:v>1.4999999999999996</c:v>
                </c:pt>
                <c:pt idx="6">
                  <c:v>1.3999999999999995</c:v>
                </c:pt>
                <c:pt idx="7">
                  <c:v>1.2999999999999994</c:v>
                </c:pt>
                <c:pt idx="8">
                  <c:v>1.1999999999999993</c:v>
                </c:pt>
                <c:pt idx="9">
                  <c:v>1.0999999999999992</c:v>
                </c:pt>
                <c:pt idx="10">
                  <c:v>0.99999999999999922</c:v>
                </c:pt>
                <c:pt idx="11">
                  <c:v>0.89999999999999925</c:v>
                </c:pt>
                <c:pt idx="12">
                  <c:v>0.79999999999999927</c:v>
                </c:pt>
                <c:pt idx="13">
                  <c:v>0.69999999999999929</c:v>
                </c:pt>
                <c:pt idx="14">
                  <c:v>0.59999999999999931</c:v>
                </c:pt>
                <c:pt idx="15">
                  <c:v>0.49999999999999933</c:v>
                </c:pt>
                <c:pt idx="16">
                  <c:v>0.39999999999999936</c:v>
                </c:pt>
                <c:pt idx="17">
                  <c:v>0.29999999999999938</c:v>
                </c:pt>
                <c:pt idx="18">
                  <c:v>0.19999999999999937</c:v>
                </c:pt>
                <c:pt idx="19">
                  <c:v>0.15</c:v>
                </c:pt>
                <c:pt idx="20">
                  <c:v>9.9999999999999367E-2</c:v>
                </c:pt>
                <c:pt idx="21">
                  <c:v>4.9999999999999364E-2</c:v>
                </c:pt>
                <c:pt idx="22">
                  <c:v>2.5000000000000001E-2</c:v>
                </c:pt>
                <c:pt idx="23">
                  <c:v>0.02</c:v>
                </c:pt>
                <c:pt idx="24">
                  <c:v>0.01</c:v>
                </c:pt>
              </c:numCache>
            </c:numRef>
          </c:xVal>
          <c:yVal>
            <c:numRef>
              <c:f>Sheet1!$C$6:$C$30</c:f>
              <c:numCache>
                <c:formatCode>General</c:formatCode>
                <c:ptCount val="25"/>
                <c:pt idx="0">
                  <c:v>9.7560975609756113</c:v>
                </c:pt>
                <c:pt idx="1">
                  <c:v>9.7435897435897427</c:v>
                </c:pt>
                <c:pt idx="2">
                  <c:v>9.7297297297297298</c:v>
                </c:pt>
                <c:pt idx="3">
                  <c:v>9.7142857142857135</c:v>
                </c:pt>
                <c:pt idx="4">
                  <c:v>9.6969696969696955</c:v>
                </c:pt>
                <c:pt idx="5">
                  <c:v>9.6774193548387082</c:v>
                </c:pt>
                <c:pt idx="6">
                  <c:v>9.6551724137931032</c:v>
                </c:pt>
                <c:pt idx="7">
                  <c:v>9.6296296296296298</c:v>
                </c:pt>
                <c:pt idx="8">
                  <c:v>9.6</c:v>
                </c:pt>
                <c:pt idx="9">
                  <c:v>9.5652173913043477</c:v>
                </c:pt>
                <c:pt idx="10">
                  <c:v>9.5238095238095237</c:v>
                </c:pt>
                <c:pt idx="11">
                  <c:v>9.473684210526315</c:v>
                </c:pt>
                <c:pt idx="12">
                  <c:v>9.4117647058823515</c:v>
                </c:pt>
                <c:pt idx="13">
                  <c:v>9.3333333333333321</c:v>
                </c:pt>
                <c:pt idx="14">
                  <c:v>9.2307692307692299</c:v>
                </c:pt>
                <c:pt idx="15">
                  <c:v>9.0909090909090899</c:v>
                </c:pt>
                <c:pt idx="16">
                  <c:v>8.8888888888888875</c:v>
                </c:pt>
                <c:pt idx="17">
                  <c:v>8.5714285714285694</c:v>
                </c:pt>
                <c:pt idx="18">
                  <c:v>7.9999999999999947</c:v>
                </c:pt>
                <c:pt idx="19">
                  <c:v>7.4999999999999991</c:v>
                </c:pt>
                <c:pt idx="20">
                  <c:v>6.6666666666666528</c:v>
                </c:pt>
                <c:pt idx="21">
                  <c:v>4.999999999999968</c:v>
                </c:pt>
                <c:pt idx="22">
                  <c:v>3.333333333333333</c:v>
                </c:pt>
                <c:pt idx="23">
                  <c:v>2.8571428571428568</c:v>
                </c:pt>
                <c:pt idx="24">
                  <c:v>1.6666666666666665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F3-4984-A41A-CB8F94DC3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407392"/>
        <c:axId val="285699824"/>
      </c:scatterChart>
      <c:valAx>
        <c:axId val="44040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99824"/>
        <c:crosses val="autoZero"/>
        <c:crossBetween val="midCat"/>
      </c:valAx>
      <c:valAx>
        <c:axId val="28569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0739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3</xdr:row>
      <xdr:rowOff>140970</xdr:rowOff>
    </xdr:from>
    <xdr:to>
      <xdr:col>13</xdr:col>
      <xdr:colOff>502920</xdr:colOff>
      <xdr:row>18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A9B24D-B3D3-97B3-E4EE-4C9CC9139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9073-C1FE-42A0-B902-0CD71D62F10F}">
  <sheetPr>
    <tabColor rgb="FFFF0000"/>
  </sheetPr>
  <dimension ref="A1:U80"/>
  <sheetViews>
    <sheetView zoomScale="85" zoomScaleNormal="85" workbookViewId="0">
      <selection activeCell="G5" sqref="G5:I5"/>
    </sheetView>
  </sheetViews>
  <sheetFormatPr defaultColWidth="8.88671875" defaultRowHeight="18" customHeight="1" x14ac:dyDescent="0.3"/>
  <cols>
    <col min="1" max="21" width="10.6640625" style="6" customWidth="1"/>
    <col min="22" max="16384" width="8.88671875" style="6"/>
  </cols>
  <sheetData>
    <row r="1" spans="1:21" ht="18" customHeight="1" x14ac:dyDescent="0.3">
      <c r="A1" s="37" t="s">
        <v>0</v>
      </c>
      <c r="B1" s="37"/>
      <c r="C1" s="37"/>
      <c r="G1" s="38" t="s">
        <v>1</v>
      </c>
      <c r="H1" s="38"/>
      <c r="I1" s="38"/>
      <c r="K1" s="38" t="s">
        <v>2</v>
      </c>
      <c r="L1" s="38"/>
      <c r="M1" s="38"/>
      <c r="N1" s="7"/>
      <c r="O1" s="38" t="s">
        <v>3</v>
      </c>
      <c r="P1" s="38"/>
      <c r="Q1" s="38"/>
      <c r="S1" s="35" t="s">
        <v>4</v>
      </c>
      <c r="T1" s="35"/>
      <c r="U1" s="35"/>
    </row>
    <row r="2" spans="1:21" ht="18" customHeight="1" x14ac:dyDescent="0.3">
      <c r="A2" s="2" t="s">
        <v>5</v>
      </c>
      <c r="B2" s="9">
        <f>32*6/180</f>
        <v>1.0666666666666667</v>
      </c>
      <c r="C2" s="3" t="s">
        <v>6</v>
      </c>
      <c r="D2" s="7" t="s">
        <v>7</v>
      </c>
      <c r="G2" s="2" t="s">
        <v>8</v>
      </c>
      <c r="H2" s="11">
        <v>45.734999999999999</v>
      </c>
      <c r="I2" s="7" t="s">
        <v>9</v>
      </c>
      <c r="K2" s="2" t="s">
        <v>10</v>
      </c>
      <c r="L2" s="11">
        <v>296.66430982605573</v>
      </c>
      <c r="M2" s="7" t="s">
        <v>11</v>
      </c>
      <c r="N2" s="7"/>
      <c r="O2" s="2" t="s">
        <v>10</v>
      </c>
      <c r="P2" s="11">
        <v>0</v>
      </c>
      <c r="Q2" s="7" t="s">
        <v>11</v>
      </c>
      <c r="S2" s="8" t="s">
        <v>12</v>
      </c>
      <c r="T2" s="7">
        <v>0</v>
      </c>
      <c r="U2" s="18" t="str">
        <f>CONCATENATE("Acetato_A.Xsu_restart = (open.X_su*Acetato_A.V_inoculum+",T2,"*Acetato_A.V_add)/Acetato_A.V_liq;")</f>
        <v>Acetato_A.Xsu_restart = (open.X_su*Acetato_A.V_inoculum+0*Acetato_A.V_add)/Acetato_A.V_liq;</v>
      </c>
    </row>
    <row r="3" spans="1:21" ht="18" customHeight="1" x14ac:dyDescent="0.3">
      <c r="A3" s="2" t="s">
        <v>13</v>
      </c>
      <c r="B3" s="9">
        <v>1.58</v>
      </c>
      <c r="C3" s="3" t="s">
        <v>14</v>
      </c>
      <c r="D3" s="7" t="s">
        <v>7</v>
      </c>
      <c r="G3" s="2" t="s">
        <v>15</v>
      </c>
      <c r="H3" s="10">
        <v>87</v>
      </c>
      <c r="I3" s="7" t="s">
        <v>9</v>
      </c>
      <c r="K3" s="2" t="s">
        <v>16</v>
      </c>
      <c r="L3" s="11">
        <v>22.074245353646802</v>
      </c>
      <c r="M3" s="7" t="s">
        <v>17</v>
      </c>
      <c r="N3" s="7"/>
      <c r="O3" s="2" t="s">
        <v>16</v>
      </c>
      <c r="P3" s="11">
        <v>0</v>
      </c>
      <c r="Q3" s="7" t="s">
        <v>17</v>
      </c>
      <c r="S3" s="8" t="s">
        <v>18</v>
      </c>
      <c r="T3" s="7">
        <v>0</v>
      </c>
      <c r="U3" s="18" t="str">
        <f>CONCATENATE("Acetato_A.Xaa_restart = (open.X_aa*Acetato_A.V_inoculum+",T3,"*Acetato_A.V_add)/Acetato_A.V_liq;")</f>
        <v>Acetato_A.Xaa_restart = (open.X_aa*Acetato_A.V_inoculum+0*Acetato_A.V_add)/Acetato_A.V_liq;</v>
      </c>
    </row>
    <row r="4" spans="1:21" ht="18" customHeight="1" x14ac:dyDescent="0.3">
      <c r="A4" s="2" t="s">
        <v>19</v>
      </c>
      <c r="B4" s="9">
        <v>1.53</v>
      </c>
      <c r="C4" s="3" t="s">
        <v>20</v>
      </c>
      <c r="D4" s="7" t="s">
        <v>7</v>
      </c>
      <c r="G4" s="5" t="s">
        <v>21</v>
      </c>
      <c r="H4" s="12">
        <v>117.935</v>
      </c>
      <c r="I4" s="7" t="s">
        <v>9</v>
      </c>
      <c r="K4" s="8" t="s">
        <v>22</v>
      </c>
      <c r="L4" s="14">
        <v>1006.3965106169907</v>
      </c>
      <c r="M4" s="7" t="s">
        <v>23</v>
      </c>
      <c r="N4" s="7"/>
      <c r="O4" s="8" t="s">
        <v>22</v>
      </c>
      <c r="P4" s="14">
        <v>0</v>
      </c>
      <c r="Q4" s="7" t="s">
        <v>23</v>
      </c>
      <c r="S4" s="8" t="s">
        <v>24</v>
      </c>
      <c r="T4" s="7">
        <v>0</v>
      </c>
      <c r="U4" s="18" t="str">
        <f>CONCATENATE("Acetato_A.Xfa_restart = (open.X_fa*Acetato_A.V_inoculum+",T4,"*Acetato_A.V_add)/Acetato_A.V_liq;")</f>
        <v>Acetato_A.Xfa_restart = (open.X_fa*Acetato_A.V_inoculum+0*Acetato_A.V_add)/Acetato_A.V_liq;</v>
      </c>
    </row>
    <row r="5" spans="1:21" ht="18" customHeight="1" x14ac:dyDescent="0.3">
      <c r="A5" s="5" t="s">
        <v>25</v>
      </c>
      <c r="B5" s="9">
        <f>1/0.16</f>
        <v>6.25</v>
      </c>
      <c r="C5" s="3" t="s">
        <v>26</v>
      </c>
      <c r="D5" s="7" t="s">
        <v>7</v>
      </c>
      <c r="G5" s="5" t="s">
        <v>27</v>
      </c>
      <c r="H5" s="12">
        <f>SUM(H2:H4)</f>
        <v>250.67000000000002</v>
      </c>
      <c r="I5" s="7" t="s">
        <v>9</v>
      </c>
      <c r="K5" s="8" t="s">
        <v>28</v>
      </c>
      <c r="L5" s="15">
        <v>173.6960244621751</v>
      </c>
      <c r="M5" s="7" t="s">
        <v>29</v>
      </c>
      <c r="N5" s="7"/>
      <c r="O5" s="8" t="s">
        <v>28</v>
      </c>
      <c r="P5" s="15">
        <v>0</v>
      </c>
      <c r="Q5" s="7" t="s">
        <v>29</v>
      </c>
      <c r="S5" s="8" t="s">
        <v>30</v>
      </c>
      <c r="T5" s="7">
        <v>0</v>
      </c>
      <c r="U5" s="18" t="str">
        <f>CONCATENATE("Acetato_A.Xc4_restart = (open.X_c4*Acetato_A.V_inoculum+",T5,"*Acetato_A.V_add)/Acetato_A.V_liq;")</f>
        <v>Acetato_A.Xc4_restart = (open.X_c4*Acetato_A.V_inoculum+0*Acetato_A.V_add)/Acetato_A.V_liq;</v>
      </c>
    </row>
    <row r="6" spans="1:21" ht="18" customHeight="1" x14ac:dyDescent="0.3">
      <c r="A6" s="2" t="s">
        <v>31</v>
      </c>
      <c r="B6" s="9">
        <v>2.83</v>
      </c>
      <c r="C6" s="3" t="s">
        <v>32</v>
      </c>
      <c r="D6" s="7" t="s">
        <v>7</v>
      </c>
      <c r="K6" s="8" t="s">
        <v>33</v>
      </c>
      <c r="L6" s="16">
        <v>62.023244324557162</v>
      </c>
      <c r="M6" s="7" t="s">
        <v>34</v>
      </c>
      <c r="N6" s="7"/>
      <c r="O6" s="8" t="s">
        <v>33</v>
      </c>
      <c r="P6" s="16">
        <v>0</v>
      </c>
      <c r="Q6" s="7" t="s">
        <v>34</v>
      </c>
      <c r="S6" s="8" t="s">
        <v>35</v>
      </c>
      <c r="T6" s="7">
        <v>0</v>
      </c>
      <c r="U6" s="18" t="str">
        <f>CONCATENATE("Acetato_A.Xpro_restart = (open.X_pro*Acetato_A.V_inoculum+",T6,"*Acetato_A.V_add)/Acetato_A.V_liq;")</f>
        <v>Acetato_A.Xpro_restart = (open.X_pro*Acetato_A.V_inoculum+0*Acetato_A.V_add)/Acetato_A.V_liq;</v>
      </c>
    </row>
    <row r="7" spans="1:21" ht="18" customHeight="1" x14ac:dyDescent="0.3">
      <c r="A7" s="8" t="s">
        <v>36</v>
      </c>
      <c r="B7" s="9">
        <f>273.15+25</f>
        <v>298.14999999999998</v>
      </c>
      <c r="C7" s="7" t="s">
        <v>37</v>
      </c>
      <c r="D7" s="7" t="s">
        <v>38</v>
      </c>
      <c r="K7" s="8" t="s">
        <v>39</v>
      </c>
      <c r="L7" s="15">
        <v>174.03854410896577</v>
      </c>
      <c r="M7" s="7" t="s">
        <v>40</v>
      </c>
      <c r="N7" s="7"/>
      <c r="O7" s="8" t="s">
        <v>39</v>
      </c>
      <c r="P7" s="15">
        <v>0</v>
      </c>
      <c r="Q7" s="7" t="s">
        <v>40</v>
      </c>
      <c r="S7" s="8" t="s">
        <v>41</v>
      </c>
      <c r="T7" s="7">
        <v>0</v>
      </c>
      <c r="U7" s="18" t="str">
        <f>CONCATENATE("Acetato_A.Xac_restart = (open.X_ac*Acetato_A.V_inoculum+",T7,"*Acetato_A.V_add)/Acetato_A.V_liq;")</f>
        <v>Acetato_A.Xac_restart = (open.X_ac*Acetato_A.V_inoculum+0*Acetato_A.V_add)/Acetato_A.V_liq;</v>
      </c>
    </row>
    <row r="8" spans="1:21" ht="18" customHeight="1" x14ac:dyDescent="0.3">
      <c r="A8" s="8" t="s">
        <v>42</v>
      </c>
      <c r="B8" s="9">
        <v>0.08</v>
      </c>
      <c r="C8" s="7" t="s">
        <v>43</v>
      </c>
      <c r="D8" s="7"/>
      <c r="G8" s="36" t="s">
        <v>44</v>
      </c>
      <c r="H8" s="36"/>
      <c r="I8" s="36"/>
      <c r="K8" s="8" t="s">
        <v>45</v>
      </c>
      <c r="L8" s="16">
        <v>0.75123364848484853</v>
      </c>
      <c r="M8" s="7" t="s">
        <v>46</v>
      </c>
      <c r="N8" s="7"/>
      <c r="O8" s="8" t="s">
        <v>45</v>
      </c>
      <c r="P8" s="16">
        <v>0</v>
      </c>
      <c r="Q8" s="7" t="s">
        <v>46</v>
      </c>
      <c r="S8" s="8" t="s">
        <v>47</v>
      </c>
      <c r="T8" s="7">
        <v>0</v>
      </c>
      <c r="U8" s="18" t="str">
        <f>CONCATENATE("Acetato_A.Xh2_restart = (open.X_h2*Acetato_A.V_inoculum+",T8,"*Acetato_A.V_add)/Acetato_A.V_liq;")</f>
        <v>Acetato_A.Xh2_restart = (open.X_h2*Acetato_A.V_inoculum+0*Acetato_A.V_add)/Acetato_A.V_liq;</v>
      </c>
    </row>
    <row r="9" spans="1:21" ht="18" customHeight="1" x14ac:dyDescent="0.3">
      <c r="A9" s="8" t="s">
        <v>48</v>
      </c>
      <c r="B9" s="17">
        <v>60</v>
      </c>
      <c r="C9" s="7" t="s">
        <v>49</v>
      </c>
      <c r="G9" s="8" t="s">
        <v>50</v>
      </c>
      <c r="H9" s="19">
        <f t="shared" ref="H9:H18" si="0">10^-B17</f>
        <v>1.7378008287493744E-5</v>
      </c>
      <c r="I9" s="7" t="s">
        <v>51</v>
      </c>
      <c r="K9" s="8" t="s">
        <v>52</v>
      </c>
      <c r="L9" s="16">
        <v>0.32682810810810808</v>
      </c>
      <c r="M9" s="7" t="s">
        <v>46</v>
      </c>
      <c r="N9" s="7"/>
      <c r="O9" s="8" t="s">
        <v>52</v>
      </c>
      <c r="P9" s="16">
        <v>0</v>
      </c>
      <c r="Q9" s="7" t="s">
        <v>46</v>
      </c>
      <c r="S9" s="8" t="s">
        <v>53</v>
      </c>
      <c r="T9" s="7">
        <v>0</v>
      </c>
      <c r="U9" s="18" t="str">
        <f>CONCATENATE("Acetato_A.Xc_restart = (open.X_c*Acetato_A.V_inoculum+",T9,"*Acetato_A.V_add)/Acetato_A.V_liq;")</f>
        <v>Acetato_A.Xc_restart = (open.X_c*Acetato_A.V_inoculum+0*Acetato_A.V_add)/Acetato_A.V_liq;</v>
      </c>
    </row>
    <row r="10" spans="1:21" ht="18" customHeight="1" x14ac:dyDescent="0.3">
      <c r="A10" s="8" t="s">
        <v>54</v>
      </c>
      <c r="B10" s="17">
        <v>74</v>
      </c>
      <c r="C10" s="7" t="s">
        <v>49</v>
      </c>
      <c r="G10" s="8" t="s">
        <v>55</v>
      </c>
      <c r="H10" s="19">
        <f t="shared" si="0"/>
        <v>1.3182567385564052E-5</v>
      </c>
      <c r="I10" s="7" t="s">
        <v>51</v>
      </c>
      <c r="K10" s="8" t="s">
        <v>56</v>
      </c>
      <c r="L10" s="16">
        <v>0.16090694214876031</v>
      </c>
      <c r="M10" s="7" t="s">
        <v>46</v>
      </c>
      <c r="N10" s="7"/>
      <c r="O10" s="8" t="s">
        <v>56</v>
      </c>
      <c r="P10" s="16">
        <v>0</v>
      </c>
      <c r="Q10" s="7" t="s">
        <v>46</v>
      </c>
      <c r="S10" s="8" t="s">
        <v>57</v>
      </c>
      <c r="T10" s="25">
        <f>(L28*$H$4/1000+P28*($H$2+$H$3)/1000)/($H$2+$H$3+$H$4)*1000</f>
        <v>4.2680089459826167</v>
      </c>
      <c r="U10" s="18" t="str">
        <f>CONCATENATE("Acetato_A.Xi_restart = (open.X_i*Acetato_A.V_inoculum+",L27,"*Acetato_A.V_add)/Acetato_A.V_liq;")</f>
        <v>Acetato_A.Xi_restart = (open.X_i*Acetato_A.V_inoculum+0.692894464393115*Acetato_A.V_add)/Acetato_A.V_liq;</v>
      </c>
    </row>
    <row r="11" spans="1:21" ht="18" customHeight="1" x14ac:dyDescent="0.3">
      <c r="A11" s="8" t="s">
        <v>58</v>
      </c>
      <c r="B11" s="17">
        <v>88</v>
      </c>
      <c r="C11" s="7" t="s">
        <v>49</v>
      </c>
      <c r="G11" s="8" t="s">
        <v>59</v>
      </c>
      <c r="H11" s="19">
        <f t="shared" si="0"/>
        <v>1.5135612484362051E-5</v>
      </c>
      <c r="I11" s="7" t="s">
        <v>51</v>
      </c>
      <c r="K11" s="8" t="s">
        <v>60</v>
      </c>
      <c r="L11" s="16">
        <v>6.6481768270944749E-2</v>
      </c>
      <c r="M11" s="7" t="s">
        <v>46</v>
      </c>
      <c r="N11" s="7"/>
      <c r="O11" s="8" t="s">
        <v>60</v>
      </c>
      <c r="P11" s="16">
        <v>0</v>
      </c>
      <c r="Q11" s="7" t="s">
        <v>46</v>
      </c>
      <c r="S11" s="8" t="s">
        <v>61</v>
      </c>
      <c r="T11" s="25">
        <f>(L29*$H$4/1000+P29*($H$2+$H$3)/1000)/($H$2+$H$3+$H$4)*1000</f>
        <v>0.39364886225658596</v>
      </c>
      <c r="U11" s="18" t="str">
        <f>CONCATENATE("Acetato_A.Xch1_restart = (open.X_ch[1]*Acetato_A.V_inoculum+",T11,"*Acetato_A.V_add)/Acetato_A.V_liq;")</f>
        <v>Acetato_A.Xch1_restart = (open.X_ch[1]*Acetato_A.V_inoculum+0.393648862256586*Acetato_A.V_add)/Acetato_A.V_liq;</v>
      </c>
    </row>
    <row r="12" spans="1:21" ht="18" customHeight="1" x14ac:dyDescent="0.3">
      <c r="A12" s="8" t="s">
        <v>62</v>
      </c>
      <c r="B12" s="17">
        <v>102</v>
      </c>
      <c r="C12" s="7" t="s">
        <v>49</v>
      </c>
      <c r="G12" s="8" t="s">
        <v>63</v>
      </c>
      <c r="H12" s="19">
        <f t="shared" si="0"/>
        <v>1.3803842646028827E-5</v>
      </c>
      <c r="I12" s="7" t="s">
        <v>51</v>
      </c>
      <c r="K12" s="8" t="s">
        <v>64</v>
      </c>
      <c r="L12" s="15">
        <v>72</v>
      </c>
      <c r="M12" s="7" t="s">
        <v>65</v>
      </c>
      <c r="N12" s="7"/>
      <c r="O12" s="8" t="s">
        <v>64</v>
      </c>
      <c r="P12" s="15">
        <v>0</v>
      </c>
      <c r="Q12" s="7" t="s">
        <v>65</v>
      </c>
      <c r="S12" s="8" t="s">
        <v>66</v>
      </c>
      <c r="T12" s="25">
        <f t="shared" ref="T12:T15" si="1">(L30*$H$4/1000+P30*($H$2+$H$3)/1000)/($H$2+$H$3+$H$4)*1000</f>
        <v>0.26243257483772403</v>
      </c>
      <c r="U12" s="18" t="str">
        <f>CONCATENATE("Acetato_A.Xch2_restart = (open.X_ch[2]*Acetato_A.V_inoculum+",T12,"*Acetato_A.V_add)/Acetato_A.V_liq;")</f>
        <v>Acetato_A.Xch2_restart = (open.X_ch[2]*Acetato_A.V_inoculum+0.262432574837724*Acetato_A.V_add)/Acetato_A.V_liq;</v>
      </c>
    </row>
    <row r="13" spans="1:21" ht="18" customHeight="1" x14ac:dyDescent="0.3">
      <c r="A13" s="8" t="s">
        <v>67</v>
      </c>
      <c r="B13" s="17">
        <v>100</v>
      </c>
      <c r="C13" s="7" t="s">
        <v>49</v>
      </c>
      <c r="G13" s="8" t="s">
        <v>68</v>
      </c>
      <c r="H13" s="19">
        <f t="shared" si="0"/>
        <v>4.4668359215096327E-7</v>
      </c>
      <c r="I13" s="7" t="s">
        <v>51</v>
      </c>
      <c r="K13" s="8" t="s">
        <v>69</v>
      </c>
      <c r="L13" s="15">
        <v>31.5</v>
      </c>
      <c r="M13" s="7" t="s">
        <v>70</v>
      </c>
      <c r="N13" s="7"/>
      <c r="O13" s="8" t="s">
        <v>69</v>
      </c>
      <c r="P13" s="15">
        <v>0</v>
      </c>
      <c r="Q13" s="7" t="s">
        <v>70</v>
      </c>
      <c r="S13" s="8" t="s">
        <v>71</v>
      </c>
      <c r="T13" s="25">
        <f t="shared" si="1"/>
        <v>2.6950746802112011</v>
      </c>
      <c r="U13" s="18" t="str">
        <f>CONCATENATE("Acetato_A.Xpr1_restart = (open.X_pr[1]*Acetato_A.V_inoculum+",T13,"*Acetato_A.V_add)/Acetato_A.V_liq;")</f>
        <v>Acetato_A.Xpr1_restart = (open.X_pr[1]*Acetato_A.V_inoculum+2.6950746802112*Acetato_A.V_add)/Acetato_A.V_liq;</v>
      </c>
    </row>
    <row r="14" spans="1:21" ht="18" customHeight="1" x14ac:dyDescent="0.3">
      <c r="A14" s="8" t="s">
        <v>72</v>
      </c>
      <c r="B14" s="17">
        <v>60</v>
      </c>
      <c r="C14" s="7" t="s">
        <v>49</v>
      </c>
      <c r="G14" s="8" t="s">
        <v>73</v>
      </c>
      <c r="H14" s="19">
        <f t="shared" si="0"/>
        <v>5.6234132519034889E-10</v>
      </c>
      <c r="I14" s="7" t="s">
        <v>51</v>
      </c>
      <c r="K14" s="8" t="s">
        <v>74</v>
      </c>
      <c r="L14" s="15">
        <v>5.6</v>
      </c>
      <c r="M14" s="7" t="s">
        <v>43</v>
      </c>
      <c r="N14" s="7"/>
      <c r="O14" s="8" t="s">
        <v>74</v>
      </c>
      <c r="P14" s="15">
        <v>7.5</v>
      </c>
      <c r="Q14" s="7" t="s">
        <v>43</v>
      </c>
      <c r="S14" s="8" t="s">
        <v>75</v>
      </c>
      <c r="T14" s="25">
        <f t="shared" si="1"/>
        <v>1.796716453474134</v>
      </c>
      <c r="U14" s="18" t="str">
        <f>CONCATENATE("Acetato_A.Xpr2_restart = (open.X_pr[2]*Acetato_A.V_inoculum+",T14,"*Acetato_A.V_add)/Acetato_A.V_liq;")</f>
        <v>Acetato_A.Xpr2_restart = (open.X_pr[2]*Acetato_A.V_inoculum+1.79671645347413*Acetato_A.V_add)/Acetato_A.V_liq;</v>
      </c>
    </row>
    <row r="15" spans="1:21" ht="18" customHeight="1" x14ac:dyDescent="0.3">
      <c r="A15" s="8" t="s">
        <v>76</v>
      </c>
      <c r="B15" s="17">
        <v>14</v>
      </c>
      <c r="C15" s="7" t="s">
        <v>49</v>
      </c>
      <c r="G15" s="8" t="s">
        <v>77</v>
      </c>
      <c r="H15" s="19">
        <f t="shared" si="0"/>
        <v>2.1379620895022253E-13</v>
      </c>
      <c r="I15" s="7" t="s">
        <v>51</v>
      </c>
      <c r="K15" s="8" t="s">
        <v>78</v>
      </c>
      <c r="L15" s="15">
        <v>2624</v>
      </c>
      <c r="M15" s="7" t="s">
        <v>79</v>
      </c>
      <c r="N15" s="7"/>
      <c r="O15" s="8" t="s">
        <v>78</v>
      </c>
      <c r="P15" s="15">
        <v>404.4</v>
      </c>
      <c r="Q15" s="7" t="s">
        <v>79</v>
      </c>
      <c r="S15" s="8" t="s">
        <v>80</v>
      </c>
      <c r="T15" s="25">
        <f t="shared" si="1"/>
        <v>3.867463098091573</v>
      </c>
      <c r="U15" s="18" t="str">
        <f>CONCATENATE("Acetato_A.Xli_restart = (open.X_li*Acetato_A.V_inoculum+",T15,"*Acetato_A.V_add)/Acetato_A.V_liq;")</f>
        <v>Acetato_A.Xli_restart = (open.X_li*Acetato_A.V_inoculum+3.86746309809157*Acetato_A.V_add)/Acetato_A.V_liq;</v>
      </c>
    </row>
    <row r="16" spans="1:21" ht="18" customHeight="1" x14ac:dyDescent="0.3">
      <c r="A16" s="8" t="s">
        <v>81</v>
      </c>
      <c r="B16" s="17">
        <v>31</v>
      </c>
      <c r="C16" s="7" t="s">
        <v>49</v>
      </c>
      <c r="G16" s="8" t="s">
        <v>82</v>
      </c>
      <c r="H16" s="19">
        <f t="shared" si="0"/>
        <v>6.1659500186148087E-8</v>
      </c>
      <c r="I16" s="7" t="s">
        <v>51</v>
      </c>
      <c r="K16" s="8" t="s">
        <v>83</v>
      </c>
      <c r="L16" s="15">
        <v>0.3</v>
      </c>
      <c r="M16" s="7" t="s">
        <v>43</v>
      </c>
      <c r="N16" s="7"/>
      <c r="O16" s="8" t="s">
        <v>83</v>
      </c>
      <c r="P16" s="15">
        <v>0</v>
      </c>
      <c r="Q16" s="7" t="s">
        <v>43</v>
      </c>
      <c r="S16" s="8" t="s">
        <v>84</v>
      </c>
      <c r="T16" s="7">
        <v>0</v>
      </c>
      <c r="U16" s="18" t="str">
        <f>CONCATENATE("Acetato_A.Xp_restart = (open.X_p*Acetato_A.V_inoculum+",T16,"*Acetato_A.V_add)/Acetato_A.V_liq;")</f>
        <v>Acetato_A.Xp_restart = (open.X_p*Acetato_A.V_inoculum+0*Acetato_A.V_add)/Acetato_A.V_liq;</v>
      </c>
    </row>
    <row r="17" spans="1:21" ht="18" customHeight="1" x14ac:dyDescent="0.3">
      <c r="A17" s="8" t="s">
        <v>85</v>
      </c>
      <c r="B17" s="17">
        <v>4.76</v>
      </c>
      <c r="C17" s="7" t="s">
        <v>43</v>
      </c>
      <c r="G17" s="8" t="s">
        <v>86</v>
      </c>
      <c r="H17" s="19">
        <f t="shared" si="0"/>
        <v>7.5857757502918299E-3</v>
      </c>
      <c r="I17" s="7" t="s">
        <v>51</v>
      </c>
      <c r="K17" s="8" t="s">
        <v>87</v>
      </c>
      <c r="L17" s="15">
        <v>0.4</v>
      </c>
      <c r="M17" s="7" t="s">
        <v>43</v>
      </c>
      <c r="N17" s="7"/>
      <c r="O17" s="8" t="s">
        <v>87</v>
      </c>
      <c r="P17" s="15">
        <v>0</v>
      </c>
      <c r="Q17" s="7" t="s">
        <v>43</v>
      </c>
      <c r="S17" s="8" t="s">
        <v>88</v>
      </c>
      <c r="T17" s="7">
        <v>0</v>
      </c>
      <c r="U17" s="18" t="str">
        <f>CONCATENATE("Acetato_A.Si_restart = (open.S_i*Acetato_A.V_inoculum+",T17,"*Acetato_A.V_add)/Acetato_A.V_liq;")</f>
        <v>Acetato_A.Si_restart = (open.S_i*Acetato_A.V_inoculum+0*Acetato_A.V_add)/Acetato_A.V_liq;</v>
      </c>
    </row>
    <row r="18" spans="1:21" ht="18" customHeight="1" x14ac:dyDescent="0.3">
      <c r="A18" s="8" t="s">
        <v>89</v>
      </c>
      <c r="B18" s="17">
        <v>4.88</v>
      </c>
      <c r="C18" s="7" t="s">
        <v>43</v>
      </c>
      <c r="G18" s="8" t="s">
        <v>90</v>
      </c>
      <c r="H18" s="19">
        <f t="shared" si="0"/>
        <v>1E-14</v>
      </c>
      <c r="I18" s="7" t="s">
        <v>91</v>
      </c>
      <c r="K18" s="8" t="s">
        <v>92</v>
      </c>
      <c r="L18" s="15">
        <f>1-L17-L16</f>
        <v>0.3</v>
      </c>
      <c r="M18" s="7" t="s">
        <v>43</v>
      </c>
      <c r="N18" s="7"/>
      <c r="O18" s="8" t="s">
        <v>92</v>
      </c>
      <c r="P18" s="15">
        <v>0</v>
      </c>
      <c r="Q18" s="7" t="s">
        <v>43</v>
      </c>
      <c r="S18" s="8" t="s">
        <v>93</v>
      </c>
      <c r="T18" s="7">
        <v>0</v>
      </c>
      <c r="U18" s="18" t="str">
        <f>CONCATENATE("Acetato_A.Ssu_restart = (open.S_su*Acetato_A.V_inoculum+",T18,"*Acetato_A.V_add)/Acetato_A.V_liq;")</f>
        <v>Acetato_A.Ssu_restart = (open.S_su*Acetato_A.V_inoculum+0*Acetato_A.V_add)/Acetato_A.V_liq;</v>
      </c>
    </row>
    <row r="19" spans="1:21" ht="18" customHeight="1" x14ac:dyDescent="0.3">
      <c r="A19" s="8" t="s">
        <v>94</v>
      </c>
      <c r="B19" s="17">
        <v>4.82</v>
      </c>
      <c r="C19" s="7" t="s">
        <v>43</v>
      </c>
      <c r="K19" s="8" t="s">
        <v>95</v>
      </c>
      <c r="L19" s="15">
        <v>0.4</v>
      </c>
      <c r="M19" s="7" t="s">
        <v>43</v>
      </c>
      <c r="N19" s="7"/>
      <c r="O19" s="8" t="s">
        <v>95</v>
      </c>
      <c r="P19" s="15">
        <v>0</v>
      </c>
      <c r="Q19" s="7" t="s">
        <v>43</v>
      </c>
      <c r="S19" s="8" t="s">
        <v>93</v>
      </c>
      <c r="T19" s="7">
        <v>0</v>
      </c>
      <c r="U19" s="18" t="str">
        <f>CONCATENATE("Acetato_A.Saa_restart = (open.S_aa*Acetato_A.V_inoculum+",T19,"*Acetato_A.V_add)/Acetato_A.V_liq;")</f>
        <v>Acetato_A.Saa_restart = (open.S_aa*Acetato_A.V_inoculum+0*Acetato_A.V_add)/Acetato_A.V_liq;</v>
      </c>
    </row>
    <row r="20" spans="1:21" ht="18" customHeight="1" x14ac:dyDescent="0.3">
      <c r="A20" s="8" t="s">
        <v>96</v>
      </c>
      <c r="B20" s="17">
        <v>4.8600000000000003</v>
      </c>
      <c r="C20" s="7" t="s">
        <v>43</v>
      </c>
      <c r="K20" s="8" t="s">
        <v>97</v>
      </c>
      <c r="L20" s="15">
        <v>0.4</v>
      </c>
      <c r="M20" s="7" t="s">
        <v>43</v>
      </c>
      <c r="N20" s="7"/>
      <c r="O20" s="8" t="s">
        <v>97</v>
      </c>
      <c r="P20" s="15">
        <v>0</v>
      </c>
      <c r="Q20" s="7" t="s">
        <v>43</v>
      </c>
      <c r="S20" s="8" t="s">
        <v>98</v>
      </c>
      <c r="T20" s="7">
        <v>0</v>
      </c>
      <c r="U20" s="18" t="str">
        <f>CONCATENATE("Acetato_A.Sfa_restart = (open.S_fa*Acetato_A.V_inoculum+",T20,"*Acetato_A.V_add)/Acetato_A.V_liq;")</f>
        <v>Acetato_A.Sfa_restart = (open.S_fa*Acetato_A.V_inoculum+0*Acetato_A.V_add)/Acetato_A.V_liq;</v>
      </c>
    </row>
    <row r="21" spans="1:21" ht="18" customHeight="1" x14ac:dyDescent="0.3">
      <c r="A21" s="8" t="s">
        <v>99</v>
      </c>
      <c r="B21" s="17">
        <v>6.35</v>
      </c>
      <c r="C21" s="7" t="s">
        <v>43</v>
      </c>
      <c r="K21" s="7"/>
      <c r="L21" s="7"/>
      <c r="M21" s="7"/>
      <c r="N21" s="7"/>
      <c r="O21" s="7"/>
      <c r="P21" s="7"/>
      <c r="S21" s="8" t="s">
        <v>100</v>
      </c>
      <c r="T21" s="25">
        <f>(L11*$H$4/1000+P11*($H$2+$H$3)/1000)/($H$2+$H$3+$H$4)*1000</f>
        <v>3.1278283564183468E-2</v>
      </c>
      <c r="U21" s="18" t="str">
        <f>CONCATENATE("Acetato_A.Sva_restart = (open.S_va*Acetato_A.V_inoculum+",T21,"*Acetato_A.V_add)/Acetato_A.V_liq;")</f>
        <v>Acetato_A.Sva_restart = (open.S_va*Acetato_A.V_inoculum+0.0312782835641835*Acetato_A.V_add)/Acetato_A.V_liq;</v>
      </c>
    </row>
    <row r="22" spans="1:21" ht="18" customHeight="1" x14ac:dyDescent="0.3">
      <c r="A22" s="8" t="s">
        <v>101</v>
      </c>
      <c r="B22" s="17">
        <v>9.25</v>
      </c>
      <c r="C22" s="7" t="s">
        <v>43</v>
      </c>
      <c r="K22" s="36" t="s">
        <v>102</v>
      </c>
      <c r="L22" s="36"/>
      <c r="M22" s="36"/>
      <c r="N22" s="7"/>
      <c r="O22" s="36" t="s">
        <v>103</v>
      </c>
      <c r="P22" s="36"/>
      <c r="Q22" s="36"/>
      <c r="S22" s="8" t="s">
        <v>104</v>
      </c>
      <c r="T22" s="25">
        <f>(L10*$H$4/1000+P10*($H$2+$H$3)/1000)/($H$2+$H$3+$H$4)*1000</f>
        <v>7.5703355895456348E-2</v>
      </c>
      <c r="U22" s="18" t="str">
        <f>CONCATENATE("Acetato_A.Sbu_restart = (open.S_bu*Acetato_A.V_inoculum+",T22,"*Acetato_A.V_add)/Acetato_A.V_liq;")</f>
        <v>Acetato_A.Sbu_restart = (open.S_bu*Acetato_A.V_inoculum+0.0757033558954563*Acetato_A.V_add)/Acetato_A.V_liq;</v>
      </c>
    </row>
    <row r="23" spans="1:21" ht="18" customHeight="1" x14ac:dyDescent="0.3">
      <c r="A23" s="8" t="s">
        <v>105</v>
      </c>
      <c r="B23" s="17">
        <v>12.67</v>
      </c>
      <c r="C23" s="7" t="s">
        <v>43</v>
      </c>
      <c r="E23" s="7"/>
      <c r="F23" s="7"/>
      <c r="G23" s="7"/>
      <c r="H23" s="7"/>
      <c r="I23" s="7"/>
      <c r="K23" s="8" t="s">
        <v>106</v>
      </c>
      <c r="L23" s="13">
        <f>$L$5*$L$3*$L$4/1000/1000*$B$2</f>
        <v>4.115983165161059</v>
      </c>
      <c r="M23" s="7" t="s">
        <v>107</v>
      </c>
      <c r="N23" s="7"/>
      <c r="O23" s="8" t="s">
        <v>106</v>
      </c>
      <c r="P23" s="13">
        <f>$P$5*$P$3*$P$4/1000/1000*$B$2</f>
        <v>0</v>
      </c>
      <c r="Q23" s="7" t="s">
        <v>107</v>
      </c>
      <c r="S23" s="8" t="s">
        <v>108</v>
      </c>
      <c r="T23" s="25">
        <f>(L9*$H$4/1000+P9*($H$2+$H$3)/1000)/($H$2+$H$3+$H$4)*1000</f>
        <v>0.15376579937658966</v>
      </c>
      <c r="U23" s="18" t="str">
        <f>CONCATENATE("Acetato_A.Spro_restart = (open.S_pro*Acetato_A.V_inoculum+",T23,"*Acetato_A.V_add)/Acetato_A.V_liq;")</f>
        <v>Acetato_A.Spro_restart = (open.S_pro*Acetato_A.V_inoculum+0.15376579937659*Acetato_A.V_add)/Acetato_A.V_liq;</v>
      </c>
    </row>
    <row r="24" spans="1:21" ht="18" customHeight="1" x14ac:dyDescent="0.3">
      <c r="A24" s="8" t="s">
        <v>109</v>
      </c>
      <c r="B24" s="17">
        <v>7.21</v>
      </c>
      <c r="C24" s="7" t="s">
        <v>43</v>
      </c>
      <c r="E24" s="7"/>
      <c r="F24" s="7"/>
      <c r="G24" s="7"/>
      <c r="H24" s="7"/>
      <c r="I24" s="7"/>
      <c r="K24" s="8" t="s">
        <v>110</v>
      </c>
      <c r="L24" s="13">
        <f>$L$6*L3*$L$4/1000/1000*B4*B5</f>
        <v>13.175918976357215</v>
      </c>
      <c r="M24" s="7" t="s">
        <v>107</v>
      </c>
      <c r="N24" s="7"/>
      <c r="O24" s="8" t="s">
        <v>110</v>
      </c>
      <c r="P24" s="13">
        <f>$P$6*P3*$P$4/1000/1000*B4*B5</f>
        <v>0</v>
      </c>
      <c r="Q24" s="7" t="s">
        <v>107</v>
      </c>
      <c r="S24" s="8" t="s">
        <v>111</v>
      </c>
      <c r="T24" s="25">
        <f>(L8*$H$4/1000+P8*($H$2+$H$3)/1000)/($H$2+$H$3+$H$4)*1000</f>
        <v>0.35343974282547014</v>
      </c>
      <c r="U24" s="18" t="str">
        <f>CONCATENATE("Acetato_A.Sac_restart = (open.S_ac*Acetato_A.V_inoculum+",T24,"*Acetato_A.V_add)/Acetato_A.V_liq;")</f>
        <v>Acetato_A.Sac_restart = (open.S_ac*Acetato_A.V_inoculum+0.35343974282547*Acetato_A.V_add)/Acetato_A.V_liq;</v>
      </c>
    </row>
    <row r="25" spans="1:21" ht="18" customHeight="1" x14ac:dyDescent="0.3">
      <c r="A25" s="8" t="s">
        <v>112</v>
      </c>
      <c r="B25" s="17">
        <v>2.12</v>
      </c>
      <c r="C25" s="7" t="s">
        <v>43</v>
      </c>
      <c r="E25" s="7"/>
      <c r="F25" s="7"/>
      <c r="G25" s="7"/>
      <c r="H25" s="7"/>
      <c r="I25" s="7"/>
      <c r="K25" s="8" t="s">
        <v>113</v>
      </c>
      <c r="L25" s="13">
        <f>$L$7*L3*$L$4/1000/1000*B6</f>
        <v>10.941751944252795</v>
      </c>
      <c r="M25" s="7" t="s">
        <v>107</v>
      </c>
      <c r="N25" s="7"/>
      <c r="O25" s="8" t="s">
        <v>113</v>
      </c>
      <c r="P25" s="13">
        <f>$P$7*P3*$P$4/1000/1000*B6</f>
        <v>0</v>
      </c>
      <c r="Q25" s="7" t="s">
        <v>107</v>
      </c>
      <c r="S25" s="8" t="s">
        <v>114</v>
      </c>
      <c r="T25" s="7">
        <v>0</v>
      </c>
      <c r="U25" s="18" t="str">
        <f>CONCATENATE("Acetato_A.Sh2_restart = (open.S_h2*Acetato_A.V_inoculum+",T25,"*Acetato_A.V_add)/Acetato_A.V_liq;")</f>
        <v>Acetato_A.Sh2_restart = (open.S_h2*Acetato_A.V_inoculum+0*Acetato_A.V_add)/Acetato_A.V_liq;</v>
      </c>
    </row>
    <row r="26" spans="1:21" ht="18" customHeight="1" x14ac:dyDescent="0.3">
      <c r="A26" s="8" t="s">
        <v>115</v>
      </c>
      <c r="B26" s="17">
        <v>14</v>
      </c>
      <c r="C26" s="7" t="s">
        <v>43</v>
      </c>
      <c r="E26" s="7"/>
      <c r="F26" s="7"/>
      <c r="G26" s="7"/>
      <c r="H26" s="7"/>
      <c r="I26" s="7"/>
      <c r="K26" s="8" t="s">
        <v>116</v>
      </c>
      <c r="L26" s="13">
        <f>IF(L3=0,0,SUM(L23:L25,L8:L11))</f>
        <v>29.53910455278373</v>
      </c>
      <c r="M26" s="7" t="s">
        <v>107</v>
      </c>
      <c r="N26" s="7"/>
      <c r="O26" s="8" t="s">
        <v>116</v>
      </c>
      <c r="P26" s="13">
        <f>IF(P3=0,0,SUM(P23:P25,P8:P11))</f>
        <v>0</v>
      </c>
      <c r="Q26" s="7" t="s">
        <v>107</v>
      </c>
      <c r="S26" s="8" t="s">
        <v>117</v>
      </c>
      <c r="T26" s="7">
        <v>0</v>
      </c>
      <c r="U26" s="18" t="str">
        <f>CONCATENATE("Acetato_A.Sch4_restart = (open.S_ch4*Acetato_A.V_inoculum+",T26,"*Acetato_A.V_add)/Acetato_A.V_liq;")</f>
        <v>Acetato_A.Sch4_restart = (open.S_ch4*Acetato_A.V_inoculum+0*Acetato_A.V_add)/Acetato_A.V_liq;</v>
      </c>
    </row>
    <row r="27" spans="1:21" ht="18" customHeight="1" x14ac:dyDescent="0.3">
      <c r="A27" s="8" t="s">
        <v>118</v>
      </c>
      <c r="B27" s="17">
        <v>64</v>
      </c>
      <c r="C27" s="7" t="s">
        <v>119</v>
      </c>
      <c r="E27" s="7"/>
      <c r="F27" s="7"/>
      <c r="G27" s="7"/>
      <c r="H27" s="7"/>
      <c r="I27" s="7"/>
      <c r="K27" s="8" t="s">
        <v>120</v>
      </c>
      <c r="L27" s="13">
        <f>IF(L3=0,0,$L$2*$L$3*$L$4/1000/$L$26/(350*(1-$B$8)))</f>
        <v>0.69289446439311508</v>
      </c>
      <c r="M27" s="7" t="s">
        <v>43</v>
      </c>
      <c r="N27" s="7"/>
      <c r="O27" s="8" t="s">
        <v>120</v>
      </c>
      <c r="P27" s="13">
        <f>IF(P3=0,0,$P$2*$P$3*$P$4/1000/$P$26/(350*(1-$B$8)))</f>
        <v>0</v>
      </c>
      <c r="Q27" s="7" t="s">
        <v>43</v>
      </c>
      <c r="S27" s="8" t="s">
        <v>121</v>
      </c>
      <c r="T27" s="25">
        <f>(L54*$H$4/1000+P54*($H$2+$H$3)/1000)/($H$2+$H$3+$H$4)*1000</f>
        <v>0.12492542504950228</v>
      </c>
      <c r="U27" s="18" t="str">
        <f>CONCATENATE("Acetato_A.Sic_restart = (open.S_ic*Acetato_A.V_inoculum+",T27,"*Acetato_A.V_add)/Acetato_A.V_liq;")</f>
        <v>Acetato_A.Sic_restart = (open.S_ic*Acetato_A.V_inoculum+0.124925425049502*Acetato_A.V_add)/Acetato_A.V_liq;</v>
      </c>
    </row>
    <row r="28" spans="1:21" ht="18" customHeight="1" x14ac:dyDescent="0.3">
      <c r="A28" s="8" t="s">
        <v>122</v>
      </c>
      <c r="B28" s="17">
        <v>112</v>
      </c>
      <c r="C28" s="7" t="s">
        <v>119</v>
      </c>
      <c r="E28" s="7"/>
      <c r="F28" s="7"/>
      <c r="G28" s="7"/>
      <c r="H28" s="7"/>
      <c r="I28" s="7"/>
      <c r="K28" s="8" t="s">
        <v>57</v>
      </c>
      <c r="L28" s="26">
        <f>(1-$L$27)*$L$26</f>
        <v>9.0716225250304205</v>
      </c>
      <c r="M28" s="7" t="s">
        <v>107</v>
      </c>
      <c r="O28" s="8" t="s">
        <v>57</v>
      </c>
      <c r="P28" s="26">
        <f>(1-$P$27)*$P$26</f>
        <v>0</v>
      </c>
      <c r="Q28" s="7" t="s">
        <v>107</v>
      </c>
      <c r="S28" s="22" t="s">
        <v>123</v>
      </c>
      <c r="T28" s="25">
        <f>(L44*$H$4/1000+P44*($H$2+$H$3)/1000)/($H$2+$H$3+$H$4)*1000</f>
        <v>2.4196068821273281E-3</v>
      </c>
      <c r="U28" s="18" t="str">
        <f>CONCATENATE("Acetato_A.Sin_restart = (open.S_in*Acetato_A.V_inoculum+",T28,"*Acetato_A.V_add)/Acetato_A.V_liq;")</f>
        <v>Acetato_A.Sin_restart = (open.S_in*Acetato_A.V_inoculum+0.00241960688212733*Acetato_A.V_add)/Acetato_A.V_liq;</v>
      </c>
    </row>
    <row r="29" spans="1:21" ht="18" customHeight="1" x14ac:dyDescent="0.3">
      <c r="A29" s="8" t="s">
        <v>124</v>
      </c>
      <c r="B29" s="17">
        <v>160</v>
      </c>
      <c r="C29" s="7" t="s">
        <v>119</v>
      </c>
      <c r="E29" s="7"/>
      <c r="F29" s="7"/>
      <c r="G29" s="7"/>
      <c r="H29" s="7"/>
      <c r="I29" s="7"/>
      <c r="K29" s="8" t="s">
        <v>61</v>
      </c>
      <c r="L29" s="26">
        <f>(1-$L$19)*($L$23-$L$28*$L$16)</f>
        <v>0.8366978445911597</v>
      </c>
      <c r="M29" s="7" t="s">
        <v>107</v>
      </c>
      <c r="O29" s="8" t="s">
        <v>61</v>
      </c>
      <c r="P29" s="26">
        <f>(1-$P$19)*($P$23-$P$28*$P$16)</f>
        <v>0</v>
      </c>
      <c r="Q29" s="7" t="s">
        <v>107</v>
      </c>
      <c r="S29" s="8" t="s">
        <v>125</v>
      </c>
      <c r="T29" s="25">
        <f>(L47*$H$4/1000+P47*($H$2+$H$3)/1000)/($H$2+$H$3+$H$4)*1000</f>
        <v>4.7806748880741543E-4</v>
      </c>
      <c r="U29" s="18" t="str">
        <f>CONCATENATE("Acetato_A.Sip_restart = (open.S_ip*Acetato_A.V_inoculum+",T29,"*Acetato_A.V_add)/Acetato_A.V_liq;")</f>
        <v>Acetato_A.Sip_restart = (open.S_ip*Acetato_A.V_inoculum+0.000478067488807415*Acetato_A.V_add)/Acetato_A.V_liq;</v>
      </c>
    </row>
    <row r="30" spans="1:21" ht="18" customHeight="1" x14ac:dyDescent="0.3">
      <c r="A30" s="8" t="s">
        <v>126</v>
      </c>
      <c r="B30" s="17">
        <v>208</v>
      </c>
      <c r="C30" s="7" t="s">
        <v>119</v>
      </c>
      <c r="K30" s="8" t="s">
        <v>66</v>
      </c>
      <c r="L30" s="26">
        <f>($L$19)*($L$23-$L$28*$L$16)</f>
        <v>0.55779856306077313</v>
      </c>
      <c r="M30" s="7" t="s">
        <v>107</v>
      </c>
      <c r="O30" s="8" t="s">
        <v>66</v>
      </c>
      <c r="P30" s="26">
        <f>($P$19)*($P$23-$P$28*$P$16)</f>
        <v>0</v>
      </c>
      <c r="Q30" s="7" t="s">
        <v>107</v>
      </c>
      <c r="S30" s="8" t="s">
        <v>127</v>
      </c>
      <c r="T30" s="21">
        <f>N80</f>
        <v>2.4592994182973608E-2</v>
      </c>
      <c r="U30" s="18" t="str">
        <f>CONCATENATE("Acetato_A.Scat_restart = (open.S_cat*Acetato_A.V_inoculum+",T30,"*Acetato_A.V_add)/Acetato_A.V_liq;")</f>
        <v>Acetato_A.Scat_restart = (open.S_cat*Acetato_A.V_inoculum+0.0245929941829736*Acetato_A.V_add)/Acetato_A.V_liq;</v>
      </c>
    </row>
    <row r="31" spans="1:21" ht="18" customHeight="1" x14ac:dyDescent="0.3">
      <c r="K31" s="8" t="s">
        <v>71</v>
      </c>
      <c r="L31" s="26">
        <f>(1-$L$20)*($L$24-$L$28*$L$17)</f>
        <v>5.728361979807028</v>
      </c>
      <c r="M31" s="7" t="s">
        <v>107</v>
      </c>
      <c r="O31" s="8" t="s">
        <v>71</v>
      </c>
      <c r="P31" s="26">
        <f>(1-$P$20)*($P$24-$P$28*$P$17)</f>
        <v>0</v>
      </c>
      <c r="Q31" s="7" t="s">
        <v>107</v>
      </c>
      <c r="S31" s="8" t="s">
        <v>128</v>
      </c>
      <c r="T31" s="30">
        <v>0</v>
      </c>
      <c r="U31" s="18" t="str">
        <f>CONCATENATE("Acetato_A.Sca_restart = (open.S_ca*Acetato_A.V_inoculum+",T31,"*Acetato_A.V_add)/Acetato_A.V_liq;")</f>
        <v>Acetato_A.Sca_restart = (open.S_ca*Acetato_A.V_inoculum+0*Acetato_A.V_add)/Acetato_A.V_liq;</v>
      </c>
    </row>
    <row r="32" spans="1:21" ht="18" customHeight="1" x14ac:dyDescent="0.3">
      <c r="K32" s="8" t="s">
        <v>75</v>
      </c>
      <c r="L32" s="26">
        <f>($L$20)*($L$24-$L$28*$L$17)</f>
        <v>3.8189079865380187</v>
      </c>
      <c r="M32" s="7" t="s">
        <v>107</v>
      </c>
      <c r="O32" s="8" t="s">
        <v>75</v>
      </c>
      <c r="P32" s="26">
        <f>($P$20)*($P$24-$P$28*$P$17)</f>
        <v>0</v>
      </c>
      <c r="Q32" s="7" t="s">
        <v>107</v>
      </c>
      <c r="S32" s="8" t="s">
        <v>129</v>
      </c>
      <c r="T32" s="30">
        <v>0</v>
      </c>
      <c r="U32" s="18" t="str">
        <f>CONCATENATE("Acetato_A.Smg_restart = (open.S_mg*Acetato_A.V_inoculum+",T32,"*Acetato_A.V_add)/Acetato_A.V_liq;")</f>
        <v>Acetato_A.Smg_restart = (open.S_mg*Acetato_A.V_inoculum+0*Acetato_A.V_add)/Acetato_A.V_liq;</v>
      </c>
    </row>
    <row r="33" spans="1:21" ht="18" customHeight="1" x14ac:dyDescent="0.3">
      <c r="K33" s="8" t="s">
        <v>80</v>
      </c>
      <c r="L33" s="26">
        <f>($L$25-$L$28*$L$18)</f>
        <v>8.2202651867436689</v>
      </c>
      <c r="M33" s="7" t="s">
        <v>107</v>
      </c>
      <c r="O33" s="8" t="s">
        <v>80</v>
      </c>
      <c r="P33" s="26">
        <f>($P$25-$P$28*$P$18)</f>
        <v>0</v>
      </c>
      <c r="Q33" s="7" t="s">
        <v>107</v>
      </c>
      <c r="S33" s="8" t="s">
        <v>130</v>
      </c>
      <c r="T33" s="21">
        <f>N79</f>
        <v>0.02</v>
      </c>
      <c r="U33" s="18" t="str">
        <f>CONCATENATE("Acetato_A.San_restart = (open.S_an*Acetato_A.V_inoculum+",T33,"*Acetato_A.V_add)/Acetato_A.V_liq;")</f>
        <v>Acetato_A.San_restart = (open.S_an*Acetato_A.V_inoculum+0.02*Acetato_A.V_add)/Acetato_A.V_liq;</v>
      </c>
    </row>
    <row r="34" spans="1:21" ht="18" customHeight="1" x14ac:dyDescent="0.3">
      <c r="K34" s="8" t="s">
        <v>100</v>
      </c>
      <c r="L34" s="13">
        <f>L11</f>
        <v>6.6481768270944749E-2</v>
      </c>
      <c r="M34" s="7" t="s">
        <v>107</v>
      </c>
      <c r="O34" s="8" t="s">
        <v>100</v>
      </c>
      <c r="P34" s="13">
        <f>P11</f>
        <v>0</v>
      </c>
      <c r="Q34" s="7" t="s">
        <v>107</v>
      </c>
      <c r="S34" s="8" t="s">
        <v>131</v>
      </c>
      <c r="T34" s="7">
        <v>0</v>
      </c>
      <c r="U34" s="18" t="str">
        <f>CONCATENATE("Acetato_A.ash_restart = (open.ash*Acetato_A.V_inoculum+",T34,"*Acetato_A.V_add)/Acetato_A.V_liq;")</f>
        <v>Acetato_A.ash_restart = (open.ash*Acetato_A.V_inoculum+0*Acetato_A.V_add)/Acetato_A.V_liq;</v>
      </c>
    </row>
    <row r="35" spans="1:21" ht="18" customHeight="1" x14ac:dyDescent="0.3">
      <c r="A35" s="2"/>
      <c r="K35" s="8" t="s">
        <v>104</v>
      </c>
      <c r="L35" s="13">
        <f>L10</f>
        <v>0.16090694214876031</v>
      </c>
      <c r="M35" s="7" t="s">
        <v>107</v>
      </c>
      <c r="O35" s="8" t="s">
        <v>104</v>
      </c>
      <c r="P35" s="13">
        <f>P10</f>
        <v>0</v>
      </c>
      <c r="Q35" s="7" t="s">
        <v>107</v>
      </c>
      <c r="S35" s="8" t="s">
        <v>132</v>
      </c>
      <c r="T35" s="7">
        <v>0</v>
      </c>
      <c r="U35" s="18" t="str">
        <f>CONCATENATE("Acetato_A.Xlig_restart = (open.X_lig*Acetato_A.V_inoculum+",T35,"*Acetato_A.V_add)/Acetato_A.V_liq;")</f>
        <v>Acetato_A.Xlig_restart = (open.X_lig*Acetato_A.V_inoculum+0*Acetato_A.V_add)/Acetato_A.V_liq;</v>
      </c>
    </row>
    <row r="36" spans="1:21" ht="18" customHeight="1" x14ac:dyDescent="0.3">
      <c r="K36" s="8" t="s">
        <v>108</v>
      </c>
      <c r="L36" s="13">
        <f>L9</f>
        <v>0.32682810810810808</v>
      </c>
      <c r="M36" s="7" t="s">
        <v>107</v>
      </c>
      <c r="O36" s="8" t="s">
        <v>108</v>
      </c>
      <c r="P36" s="13">
        <f>P9</f>
        <v>0</v>
      </c>
      <c r="Q36" s="7" t="s">
        <v>107</v>
      </c>
    </row>
    <row r="37" spans="1:21" ht="18" customHeight="1" x14ac:dyDescent="0.3">
      <c r="K37" s="8" t="s">
        <v>111</v>
      </c>
      <c r="L37" s="13">
        <f>L8</f>
        <v>0.75123364848484853</v>
      </c>
      <c r="M37" s="7" t="s">
        <v>107</v>
      </c>
      <c r="O37" s="8" t="s">
        <v>111</v>
      </c>
      <c r="P37" s="13">
        <f>P8</f>
        <v>0</v>
      </c>
      <c r="Q37" s="7" t="s">
        <v>107</v>
      </c>
    </row>
    <row r="38" spans="1:21" ht="18" customHeight="1" x14ac:dyDescent="0.3">
      <c r="K38" s="2" t="s">
        <v>133</v>
      </c>
      <c r="L38" s="20">
        <f>IF(L14=0,0,(10^(-L14)))</f>
        <v>2.5118864315095806E-6</v>
      </c>
      <c r="M38" s="1" t="s">
        <v>51</v>
      </c>
      <c r="O38" s="2" t="s">
        <v>133</v>
      </c>
      <c r="P38" s="20">
        <f>IF(P14=0,0,(10^(-P14)))</f>
        <v>3.1622776601683699E-8</v>
      </c>
      <c r="Q38" s="1" t="s">
        <v>51</v>
      </c>
    </row>
    <row r="39" spans="1:21" ht="18" customHeight="1" x14ac:dyDescent="0.3">
      <c r="K39" s="2" t="s">
        <v>134</v>
      </c>
      <c r="L39" s="20">
        <f>IF(L14=0,0,$H$18/L38)</f>
        <v>3.9810717055349714E-9</v>
      </c>
      <c r="M39" s="1" t="s">
        <v>51</v>
      </c>
      <c r="O39" s="2" t="s">
        <v>134</v>
      </c>
      <c r="P39" s="20">
        <f>IF(P14=0,0,$H$18/P38)</f>
        <v>3.1622776601683887E-7</v>
      </c>
      <c r="Q39" s="1" t="s">
        <v>51</v>
      </c>
    </row>
    <row r="40" spans="1:21" ht="18" customHeight="1" x14ac:dyDescent="0.3">
      <c r="A40" s="8"/>
      <c r="K40" s="2" t="s">
        <v>135</v>
      </c>
      <c r="L40" s="20">
        <f>L8/$B$27*$H$9/(L38+$H$9)</f>
        <v>1.0255635425715722E-2</v>
      </c>
      <c r="M40" s="1" t="s">
        <v>51</v>
      </c>
      <c r="O40" s="2" t="s">
        <v>135</v>
      </c>
      <c r="P40" s="20">
        <f>P8/$B$27*$H$9/(P38+$H$9)</f>
        <v>0</v>
      </c>
      <c r="Q40" s="1" t="s">
        <v>51</v>
      </c>
    </row>
    <row r="41" spans="1:21" ht="18" customHeight="1" x14ac:dyDescent="0.3">
      <c r="K41" s="2" t="s">
        <v>136</v>
      </c>
      <c r="L41" s="20">
        <f>L9/$B$28*$H$10/(L38+$H$10)</f>
        <v>2.4510669324247108E-3</v>
      </c>
      <c r="M41" s="1" t="s">
        <v>51</v>
      </c>
      <c r="O41" s="2" t="s">
        <v>136</v>
      </c>
      <c r="P41" s="20">
        <f>P9/$B$28*$H$10/(P38+$H$10)</f>
        <v>0</v>
      </c>
      <c r="Q41" s="1" t="s">
        <v>51</v>
      </c>
    </row>
    <row r="42" spans="1:21" ht="18" customHeight="1" x14ac:dyDescent="0.3">
      <c r="K42" s="2" t="s">
        <v>137</v>
      </c>
      <c r="L42" s="20">
        <f>L10/$B$29*$H$11/(L38+$H$11)</f>
        <v>8.6252488738536987E-4</v>
      </c>
      <c r="M42" s="1" t="s">
        <v>51</v>
      </c>
      <c r="O42" s="2" t="s">
        <v>137</v>
      </c>
      <c r="P42" s="20">
        <f>P10/$B$29*$H$11/(P38+$H$11)</f>
        <v>0</v>
      </c>
      <c r="Q42" s="1" t="s">
        <v>51</v>
      </c>
    </row>
    <row r="43" spans="1:21" ht="18" customHeight="1" x14ac:dyDescent="0.3">
      <c r="K43" s="2" t="s">
        <v>138</v>
      </c>
      <c r="L43" s="20">
        <f>L11/$B$30*$H$12/(L38+$H$12)</f>
        <v>2.7041622266199365E-4</v>
      </c>
      <c r="M43" s="1" t="s">
        <v>51</v>
      </c>
      <c r="O43" s="2" t="s">
        <v>138</v>
      </c>
      <c r="P43" s="20">
        <f>P11/$B$30*$H$12/(P38+$H$12)</f>
        <v>0</v>
      </c>
      <c r="Q43" s="1" t="s">
        <v>51</v>
      </c>
    </row>
    <row r="44" spans="1:21" ht="18" customHeight="1" x14ac:dyDescent="0.3">
      <c r="K44" s="2" t="s">
        <v>123</v>
      </c>
      <c r="L44" s="20">
        <f>L12/$B$15/1000</f>
        <v>5.1428571428571435E-3</v>
      </c>
      <c r="M44" s="1" t="s">
        <v>51</v>
      </c>
      <c r="O44" s="2" t="s">
        <v>123</v>
      </c>
      <c r="P44" s="20">
        <f>P12/$B$15/1000</f>
        <v>0</v>
      </c>
      <c r="Q44" s="1" t="s">
        <v>51</v>
      </c>
    </row>
    <row r="45" spans="1:21" ht="18" customHeight="1" x14ac:dyDescent="0.3">
      <c r="K45" s="2" t="s">
        <v>139</v>
      </c>
      <c r="L45" s="20">
        <f>L44*L38/($H$14+L38)</f>
        <v>5.1417060582530519E-3</v>
      </c>
      <c r="M45" s="1" t="s">
        <v>51</v>
      </c>
      <c r="O45" s="2" t="s">
        <v>139</v>
      </c>
      <c r="P45" s="20">
        <f>P44*P38/($H$14+P38)</f>
        <v>0</v>
      </c>
      <c r="Q45" s="1" t="s">
        <v>51</v>
      </c>
    </row>
    <row r="46" spans="1:21" ht="18" customHeight="1" x14ac:dyDescent="0.3">
      <c r="K46" s="2" t="s">
        <v>140</v>
      </c>
      <c r="L46" s="20">
        <f>L44-L45</f>
        <v>1.1510846040915443E-6</v>
      </c>
      <c r="M46" s="1" t="s">
        <v>51</v>
      </c>
      <c r="O46" s="2" t="s">
        <v>140</v>
      </c>
      <c r="P46" s="20">
        <f>P44-P45</f>
        <v>0</v>
      </c>
      <c r="Q46" s="1" t="s">
        <v>51</v>
      </c>
    </row>
    <row r="47" spans="1:21" ht="18" customHeight="1" x14ac:dyDescent="0.3">
      <c r="K47" s="2" t="s">
        <v>125</v>
      </c>
      <c r="L47" s="20">
        <f>L13/$B$16/1000</f>
        <v>1.0161290322580644E-3</v>
      </c>
      <c r="M47" s="6" t="s">
        <v>51</v>
      </c>
      <c r="O47" s="2" t="s">
        <v>125</v>
      </c>
      <c r="P47" s="20">
        <f>P13/$B$16/1000</f>
        <v>0</v>
      </c>
      <c r="Q47" s="6" t="s">
        <v>51</v>
      </c>
    </row>
    <row r="48" spans="1:21" ht="18" customHeight="1" x14ac:dyDescent="0.3">
      <c r="K48" s="2" t="s">
        <v>141</v>
      </c>
      <c r="L48" s="20">
        <f>$H$15*L47/($H$15+L38+L38^2/$H$16+L38^3/($H$16*$H$17))</f>
        <v>2.0714602078681818E-12</v>
      </c>
      <c r="M48" s="6" t="s">
        <v>51</v>
      </c>
      <c r="O48" s="2" t="s">
        <v>141</v>
      </c>
      <c r="P48" s="20">
        <f>$H$15*P47/($H$15+P38+P38^2/$H$16+P38^3/($H$16*$H$17))</f>
        <v>0</v>
      </c>
      <c r="Q48" s="6" t="s">
        <v>51</v>
      </c>
    </row>
    <row r="49" spans="11:17" ht="18" customHeight="1" x14ac:dyDescent="0.3">
      <c r="K49" s="2" t="s">
        <v>142</v>
      </c>
      <c r="L49" s="27">
        <f>$H$16*L47/($H$15*$H$16/L38+$H$16+L38+(L38^2)/$H$17)</f>
        <v>2.4337535333788652E-5</v>
      </c>
      <c r="M49" s="6" t="s">
        <v>51</v>
      </c>
      <c r="O49" s="2" t="s">
        <v>142</v>
      </c>
      <c r="P49" s="20">
        <f>$H$16*P47/($H$15*$H$16/P38+$H$16+P38+(P38^2)/$H$17)</f>
        <v>0</v>
      </c>
      <c r="Q49" s="6" t="s">
        <v>51</v>
      </c>
    </row>
    <row r="50" spans="11:17" ht="18" customHeight="1" x14ac:dyDescent="0.3">
      <c r="K50" s="2" t="s">
        <v>143</v>
      </c>
      <c r="L50" s="27">
        <f>L47*$H$17/(L38+$H$17+$H$17*$H$16/L38+$H$17*$H$16*$H$15/(L38^2))</f>
        <v>9.9146319053462534E-4</v>
      </c>
      <c r="M50" s="6" t="s">
        <v>51</v>
      </c>
      <c r="O50" s="2" t="s">
        <v>143</v>
      </c>
      <c r="P50" s="20">
        <f>P47*$H$17/(P38+$H$17+$H$17*$H$16/P38+$H$17*$H$16*$H$15/(P38^2))</f>
        <v>0</v>
      </c>
      <c r="Q50" s="6" t="s">
        <v>51</v>
      </c>
    </row>
    <row r="51" spans="11:17" ht="18" customHeight="1" x14ac:dyDescent="0.3">
      <c r="K51" s="2" t="s">
        <v>144</v>
      </c>
      <c r="L51" s="20">
        <f>L47-L48-L49-L50</f>
        <v>3.2830431819018228E-7</v>
      </c>
      <c r="M51" s="6" t="s">
        <v>51</v>
      </c>
      <c r="O51" s="2" t="s">
        <v>144</v>
      </c>
      <c r="P51" s="20">
        <f>P47-P48-P49-P50</f>
        <v>0</v>
      </c>
      <c r="Q51" s="6" t="s">
        <v>51</v>
      </c>
    </row>
    <row r="52" spans="11:17" ht="18" customHeight="1" x14ac:dyDescent="0.3">
      <c r="K52" s="2" t="s">
        <v>145</v>
      </c>
      <c r="L52" s="24">
        <f>L15/$B$13*2/1000</f>
        <v>5.2479999999999999E-2</v>
      </c>
      <c r="M52" s="1" t="s">
        <v>51</v>
      </c>
      <c r="O52" s="2" t="s">
        <v>145</v>
      </c>
      <c r="P52" s="24">
        <f>P15/$B$13*2/1000</f>
        <v>8.0879999999999997E-3</v>
      </c>
      <c r="Q52" s="1" t="s">
        <v>51</v>
      </c>
    </row>
    <row r="53" spans="11:17" ht="18" customHeight="1" x14ac:dyDescent="0.3">
      <c r="K53" s="2" t="s">
        <v>146</v>
      </c>
      <c r="L53" s="24">
        <f>L52-SUM(L40:L43)-L39+L38-L46-L49-2*L48+L51</f>
        <v>3.861770411740939E-2</v>
      </c>
      <c r="M53" s="1" t="s">
        <v>51</v>
      </c>
      <c r="O53" s="2" t="s">
        <v>146</v>
      </c>
      <c r="P53" s="24">
        <f>P52-SUM(P40:P43)-P39+P38-P46-P49-2*P48+P51</f>
        <v>8.0877153950105855E-3</v>
      </c>
      <c r="Q53" s="1" t="s">
        <v>51</v>
      </c>
    </row>
    <row r="54" spans="11:17" ht="18" customHeight="1" x14ac:dyDescent="0.3">
      <c r="K54" s="2" t="s">
        <v>121</v>
      </c>
      <c r="L54" s="24">
        <f>L53*(L38+$H$13)/$H$13</f>
        <v>0.25578101320933733</v>
      </c>
      <c r="M54" s="1" t="s">
        <v>51</v>
      </c>
      <c r="O54" s="2" t="s">
        <v>121</v>
      </c>
      <c r="P54" s="24">
        <f>P53*(P38+$H$13)/$H$13</f>
        <v>8.6602817969302272E-3</v>
      </c>
      <c r="Q54" s="1" t="s">
        <v>51</v>
      </c>
    </row>
    <row r="55" spans="11:17" ht="18" customHeight="1" x14ac:dyDescent="0.3">
      <c r="K55" s="2" t="s">
        <v>147</v>
      </c>
      <c r="L55" s="24">
        <f>L54-L53</f>
        <v>0.21716330909192794</v>
      </c>
      <c r="M55" s="1" t="s">
        <v>51</v>
      </c>
      <c r="O55" s="2" t="s">
        <v>147</v>
      </c>
      <c r="P55" s="24">
        <f>P54-P53</f>
        <v>5.7256640191964171E-4</v>
      </c>
      <c r="Q55" s="1" t="s">
        <v>51</v>
      </c>
    </row>
    <row r="56" spans="11:17" ht="18" customHeight="1" x14ac:dyDescent="0.3">
      <c r="K56" s="2" t="s">
        <v>148</v>
      </c>
      <c r="L56" s="23">
        <f>L38-L39-L40-L41-L42-L43+L45-3*L48-2*L49-L50+L57</f>
        <v>-9.9999999999406119E-9</v>
      </c>
      <c r="M56" s="1" t="s">
        <v>149</v>
      </c>
      <c r="O56" s="2" t="s">
        <v>148</v>
      </c>
      <c r="P56" s="23">
        <f>P38-P39-P40-P41-P42-P43+P45-3*P48-2*P49-P50+P57</f>
        <v>0</v>
      </c>
      <c r="Q56" s="1" t="s">
        <v>149</v>
      </c>
    </row>
    <row r="57" spans="11:17" ht="18" customHeight="1" x14ac:dyDescent="0.3">
      <c r="K57" s="2" t="s">
        <v>150</v>
      </c>
      <c r="L57" s="4">
        <v>9.7355577719915268E-3</v>
      </c>
      <c r="M57" s="1" t="s">
        <v>51</v>
      </c>
      <c r="O57" s="2" t="s">
        <v>150</v>
      </c>
      <c r="P57" s="4">
        <v>2.8460498941515519E-7</v>
      </c>
      <c r="Q57" s="1" t="s">
        <v>51</v>
      </c>
    </row>
    <row r="58" spans="11:17" ht="18" customHeight="1" x14ac:dyDescent="0.3">
      <c r="K58" s="2" t="s">
        <v>130</v>
      </c>
      <c r="L58" s="28">
        <v>0.02</v>
      </c>
      <c r="M58" s="1" t="s">
        <v>51</v>
      </c>
      <c r="O58" s="2" t="s">
        <v>130</v>
      </c>
      <c r="P58" s="28">
        <v>0.02</v>
      </c>
      <c r="Q58" s="1" t="s">
        <v>51</v>
      </c>
    </row>
    <row r="59" spans="11:17" ht="18" customHeight="1" x14ac:dyDescent="0.3">
      <c r="K59" s="2" t="s">
        <v>127</v>
      </c>
      <c r="L59" s="29">
        <f>L57+L58</f>
        <v>2.9735557771991529E-2</v>
      </c>
      <c r="M59" s="1" t="s">
        <v>51</v>
      </c>
      <c r="O59" s="2" t="s">
        <v>127</v>
      </c>
      <c r="P59" s="29">
        <f>P57+P58</f>
        <v>2.0000284604989416E-2</v>
      </c>
      <c r="Q59" s="1" t="s">
        <v>51</v>
      </c>
    </row>
    <row r="62" spans="11:17" ht="18" customHeight="1" x14ac:dyDescent="0.3">
      <c r="M62" s="36" t="s">
        <v>151</v>
      </c>
      <c r="N62" s="36"/>
      <c r="O62" s="36"/>
    </row>
    <row r="63" spans="11:17" ht="18" customHeight="1" x14ac:dyDescent="0.3">
      <c r="M63" s="2" t="s">
        <v>133</v>
      </c>
      <c r="N63" s="20">
        <f>(L38*$H$4/1000+P38*($H$2+$H$3)/1000)/($H$2+$H$3+$H$4)*1000</f>
        <v>1.1985350283332942E-6</v>
      </c>
      <c r="O63" s="1" t="s">
        <v>51</v>
      </c>
    </row>
    <row r="64" spans="11:17" ht="18" customHeight="1" x14ac:dyDescent="0.3">
      <c r="M64" s="2" t="s">
        <v>134</v>
      </c>
      <c r="N64" s="20">
        <f>$H$18/N63</f>
        <v>8.3435191826693559E-9</v>
      </c>
      <c r="O64" s="1" t="s">
        <v>51</v>
      </c>
    </row>
    <row r="65" spans="13:15" ht="18" customHeight="1" x14ac:dyDescent="0.3">
      <c r="M65" s="2" t="s">
        <v>135</v>
      </c>
      <c r="N65" s="20">
        <f>(L40*$H$4/1000+P40*($H$2+$H$3)/1000)/($H$2+$H$3+$H$4)*1000</f>
        <v>4.8250622887931697E-3</v>
      </c>
      <c r="O65" s="1" t="s">
        <v>51</v>
      </c>
    </row>
    <row r="66" spans="13:15" ht="18" customHeight="1" x14ac:dyDescent="0.3">
      <c r="M66" s="2" t="s">
        <v>136</v>
      </c>
      <c r="N66" s="20">
        <f t="shared" ref="N66:N68" si="2">(L41*$H$4/1000+P41*($H$2+$H$3)/1000)/($H$2+$H$3+$H$4)*1000</f>
        <v>1.1531758035485228E-3</v>
      </c>
      <c r="O66" s="1" t="s">
        <v>51</v>
      </c>
    </row>
    <row r="67" spans="13:15" ht="18" customHeight="1" x14ac:dyDescent="0.3">
      <c r="M67" s="2" t="s">
        <v>137</v>
      </c>
      <c r="N67" s="20">
        <f t="shared" si="2"/>
        <v>4.0579994651850483E-4</v>
      </c>
      <c r="O67" s="1" t="s">
        <v>51</v>
      </c>
    </row>
    <row r="68" spans="13:15" ht="18" customHeight="1" x14ac:dyDescent="0.3">
      <c r="M68" s="2" t="s">
        <v>138</v>
      </c>
      <c r="N68" s="20">
        <f t="shared" si="2"/>
        <v>1.2722518538174583E-4</v>
      </c>
      <c r="O68" s="1" t="s">
        <v>51</v>
      </c>
    </row>
    <row r="69" spans="13:15" ht="18" customHeight="1" x14ac:dyDescent="0.3">
      <c r="M69" s="2" t="s">
        <v>139</v>
      </c>
      <c r="N69" s="20">
        <f>T28*N63/($H$14+N63)</f>
        <v>2.4184721578130526E-3</v>
      </c>
      <c r="O69" s="1" t="s">
        <v>51</v>
      </c>
    </row>
    <row r="70" spans="13:15" ht="18" customHeight="1" x14ac:dyDescent="0.3">
      <c r="M70" s="2" t="s">
        <v>140</v>
      </c>
      <c r="N70" s="20">
        <f>T28-N69</f>
        <v>1.1347243142755155E-6</v>
      </c>
      <c r="O70" s="1" t="s">
        <v>51</v>
      </c>
    </row>
    <row r="71" spans="13:15" ht="18" customHeight="1" x14ac:dyDescent="0.3">
      <c r="M71" s="2" t="s">
        <v>141</v>
      </c>
      <c r="N71" s="20">
        <f>$H$15*T29/($H$15+N63+N63^2/$H$16+N63^3/($H$16*$H$17))</f>
        <v>4.1719167192328653E-12</v>
      </c>
      <c r="O71" s="6" t="s">
        <v>51</v>
      </c>
    </row>
    <row r="72" spans="13:15" ht="18" customHeight="1" x14ac:dyDescent="0.3">
      <c r="M72" s="2" t="s">
        <v>142</v>
      </c>
      <c r="N72" s="20">
        <f>$H$16*T29/($H$15*$H$16/N63+$H$16+N63+(N63^2)/$H$17)</f>
        <v>2.33876379185661E-5</v>
      </c>
      <c r="O72" s="6" t="s">
        <v>51</v>
      </c>
    </row>
    <row r="73" spans="13:15" ht="18" customHeight="1" x14ac:dyDescent="0.3">
      <c r="M73" s="2" t="s">
        <v>143</v>
      </c>
      <c r="N73" s="20">
        <f>T29*$H$17/(N63+$H$17+$H$17*$H$16/N63+$H$17*$H$16*$H$15/(N63^2))</f>
        <v>4.5460801970098738E-4</v>
      </c>
      <c r="O73" s="6" t="s">
        <v>51</v>
      </c>
    </row>
    <row r="74" spans="13:15" ht="18" customHeight="1" x14ac:dyDescent="0.3">
      <c r="M74" s="2" t="s">
        <v>144</v>
      </c>
      <c r="N74" s="20">
        <f>T29-N71-N72-N73</f>
        <v>7.1827015945234718E-8</v>
      </c>
      <c r="O74" s="6" t="s">
        <v>51</v>
      </c>
    </row>
    <row r="75" spans="13:15" ht="18" customHeight="1" x14ac:dyDescent="0.3">
      <c r="M75" s="2" t="s">
        <v>146</v>
      </c>
      <c r="N75" s="24">
        <f>T27*$H$13/($H$13+N63)</f>
        <v>3.3917764434049917E-2</v>
      </c>
      <c r="O75" s="1" t="s">
        <v>51</v>
      </c>
    </row>
    <row r="76" spans="13:15" ht="18" customHeight="1" x14ac:dyDescent="0.3">
      <c r="M76" s="2" t="s">
        <v>147</v>
      </c>
      <c r="N76" s="24">
        <f>T27-N75</f>
        <v>9.1007660615452374E-2</v>
      </c>
      <c r="O76" s="1" t="s">
        <v>51</v>
      </c>
    </row>
    <row r="77" spans="13:15" ht="18" customHeight="1" x14ac:dyDescent="0.3">
      <c r="M77" s="2" t="s">
        <v>148</v>
      </c>
      <c r="N77" s="23">
        <f>N63-N64-N65-N66-N67-N68+N69-3*N71-2*N72-N73+N78</f>
        <v>9.9999999999406119E-9</v>
      </c>
      <c r="O77" s="1" t="s">
        <v>149</v>
      </c>
    </row>
    <row r="78" spans="13:15" ht="18" customHeight="1" x14ac:dyDescent="0.3">
      <c r="M78" s="2" t="s">
        <v>150</v>
      </c>
      <c r="N78" s="4">
        <v>4.5929941829736098E-3</v>
      </c>
      <c r="O78" s="1" t="s">
        <v>51</v>
      </c>
    </row>
    <row r="79" spans="13:15" ht="18" customHeight="1" x14ac:dyDescent="0.3">
      <c r="M79" s="2" t="s">
        <v>130</v>
      </c>
      <c r="N79" s="28">
        <v>0.02</v>
      </c>
      <c r="O79" s="1" t="s">
        <v>51</v>
      </c>
    </row>
    <row r="80" spans="13:15" ht="18" customHeight="1" x14ac:dyDescent="0.3">
      <c r="M80" s="2" t="s">
        <v>127</v>
      </c>
      <c r="N80" s="29">
        <f>N78+N79</f>
        <v>2.4592994182973608E-2</v>
      </c>
      <c r="O80" s="1" t="s">
        <v>51</v>
      </c>
    </row>
  </sheetData>
  <mergeCells count="9">
    <mergeCell ref="S1:U1"/>
    <mergeCell ref="G8:I8"/>
    <mergeCell ref="O22:Q22"/>
    <mergeCell ref="M62:O62"/>
    <mergeCell ref="A1:C1"/>
    <mergeCell ref="G1:I1"/>
    <mergeCell ref="K22:M22"/>
    <mergeCell ref="K1:M1"/>
    <mergeCell ref="O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CD95-5CA0-401C-8A9B-964B91FC02FF}">
  <dimension ref="A1:U80"/>
  <sheetViews>
    <sheetView zoomScale="85" zoomScaleNormal="85" workbookViewId="0">
      <selection activeCell="P15" sqref="P15"/>
    </sheetView>
  </sheetViews>
  <sheetFormatPr defaultColWidth="8.88671875" defaultRowHeight="18" customHeight="1" x14ac:dyDescent="0.3"/>
  <cols>
    <col min="1" max="21" width="10.6640625" style="6" customWidth="1"/>
    <col min="22" max="16384" width="8.88671875" style="6"/>
  </cols>
  <sheetData>
    <row r="1" spans="1:21" ht="18" customHeight="1" x14ac:dyDescent="0.3">
      <c r="A1" s="37" t="s">
        <v>0</v>
      </c>
      <c r="B1" s="37"/>
      <c r="C1" s="37"/>
      <c r="G1" s="38" t="s">
        <v>1</v>
      </c>
      <c r="H1" s="38"/>
      <c r="I1" s="38"/>
      <c r="K1" s="38" t="s">
        <v>2</v>
      </c>
      <c r="L1" s="38"/>
      <c r="M1" s="38"/>
      <c r="N1" s="7"/>
      <c r="O1" s="38" t="s">
        <v>3</v>
      </c>
      <c r="P1" s="38"/>
      <c r="Q1" s="38"/>
      <c r="S1" s="35" t="s">
        <v>4</v>
      </c>
      <c r="T1" s="35"/>
      <c r="U1" s="35"/>
    </row>
    <row r="2" spans="1:21" ht="18" customHeight="1" x14ac:dyDescent="0.3">
      <c r="A2" s="2" t="s">
        <v>5</v>
      </c>
      <c r="B2" s="9">
        <f>32*6/180</f>
        <v>1.0666666666666667</v>
      </c>
      <c r="C2" s="3" t="s">
        <v>6</v>
      </c>
      <c r="D2" s="7" t="s">
        <v>7</v>
      </c>
      <c r="G2" s="2" t="s">
        <v>8</v>
      </c>
      <c r="H2" s="11">
        <v>163</v>
      </c>
      <c r="I2" s="7" t="s">
        <v>9</v>
      </c>
      <c r="K2" s="2" t="s">
        <v>10</v>
      </c>
      <c r="L2" s="11">
        <v>100</v>
      </c>
      <c r="M2" s="7" t="s">
        <v>11</v>
      </c>
      <c r="N2" s="7"/>
      <c r="O2" s="2" t="s">
        <v>10</v>
      </c>
      <c r="P2" s="11">
        <v>0</v>
      </c>
      <c r="Q2" s="7" t="s">
        <v>11</v>
      </c>
      <c r="S2" s="8" t="s">
        <v>12</v>
      </c>
      <c r="T2" s="7">
        <v>0</v>
      </c>
      <c r="U2" s="18" t="str">
        <f>CONCATENATE("RES_A.Xsu_restart = (open.X_su*RES_A.V_inoculum+",T2,"*RES_A.V_add)/RES_A.V_liq;")</f>
        <v>RES_A.Xsu_restart = (open.X_su*RES_A.V_inoculum+0*RES_A.V_add)/RES_A.V_liq;</v>
      </c>
    </row>
    <row r="3" spans="1:21" ht="18" customHeight="1" x14ac:dyDescent="0.3">
      <c r="A3" s="2" t="s">
        <v>13</v>
      </c>
      <c r="B3" s="9">
        <v>1.58</v>
      </c>
      <c r="C3" s="3" t="s">
        <v>14</v>
      </c>
      <c r="D3" s="7" t="s">
        <v>7</v>
      </c>
      <c r="G3" s="2" t="s">
        <v>15</v>
      </c>
      <c r="H3" s="10">
        <v>87</v>
      </c>
      <c r="I3" s="7" t="s">
        <v>9</v>
      </c>
      <c r="K3" s="2" t="s">
        <v>16</v>
      </c>
      <c r="L3" s="11">
        <v>0</v>
      </c>
      <c r="M3" s="7" t="s">
        <v>17</v>
      </c>
      <c r="N3" s="7"/>
      <c r="O3" s="2" t="s">
        <v>16</v>
      </c>
      <c r="P3" s="11">
        <v>0</v>
      </c>
      <c r="Q3" s="7" t="s">
        <v>17</v>
      </c>
      <c r="S3" s="8" t="s">
        <v>18</v>
      </c>
      <c r="T3" s="7">
        <v>0</v>
      </c>
      <c r="U3" s="18" t="str">
        <f>CONCATENATE("RES_A.Xaa_restart = (open.X_aa*RES_A.V_inoculum+",T3,"*RES_A.V_add)/RES_A.V_liq;")</f>
        <v>RES_A.Xaa_restart = (open.X_aa*RES_A.V_inoculum+0*RES_A.V_add)/RES_A.V_liq;</v>
      </c>
    </row>
    <row r="4" spans="1:21" ht="18" customHeight="1" x14ac:dyDescent="0.3">
      <c r="A4" s="2" t="s">
        <v>19</v>
      </c>
      <c r="B4" s="9">
        <v>1.53</v>
      </c>
      <c r="C4" s="3" t="s">
        <v>20</v>
      </c>
      <c r="D4" s="7" t="s">
        <v>7</v>
      </c>
      <c r="G4" s="5" t="s">
        <v>21</v>
      </c>
      <c r="H4" s="12">
        <v>0</v>
      </c>
      <c r="I4" s="7" t="s">
        <v>9</v>
      </c>
      <c r="K4" s="8" t="s">
        <v>22</v>
      </c>
      <c r="L4" s="14">
        <v>0</v>
      </c>
      <c r="M4" s="7" t="s">
        <v>23</v>
      </c>
      <c r="N4" s="7"/>
      <c r="O4" s="8" t="s">
        <v>22</v>
      </c>
      <c r="P4" s="14">
        <v>0</v>
      </c>
      <c r="Q4" s="7" t="s">
        <v>23</v>
      </c>
      <c r="S4" s="8" t="s">
        <v>24</v>
      </c>
      <c r="T4" s="7">
        <v>0</v>
      </c>
      <c r="U4" s="18" t="str">
        <f>CONCATENATE("RES_A.Xfa_restart = (open.X_fa*RES_A.V_inoculum+",T4,"*RES_A.V_add)/RES_A.V_liq;")</f>
        <v>RES_A.Xfa_restart = (open.X_fa*RES_A.V_inoculum+0*RES_A.V_add)/RES_A.V_liq;</v>
      </c>
    </row>
    <row r="5" spans="1:21" ht="18" customHeight="1" x14ac:dyDescent="0.3">
      <c r="A5" s="5" t="s">
        <v>25</v>
      </c>
      <c r="B5" s="9">
        <f>1/0.16</f>
        <v>6.25</v>
      </c>
      <c r="C5" s="3" t="s">
        <v>26</v>
      </c>
      <c r="D5" s="7" t="s">
        <v>7</v>
      </c>
      <c r="G5" s="5" t="s">
        <v>27</v>
      </c>
      <c r="H5" s="12">
        <f>SUM(H2:H4)</f>
        <v>250</v>
      </c>
      <c r="I5" s="7" t="s">
        <v>9</v>
      </c>
      <c r="K5" s="8" t="s">
        <v>28</v>
      </c>
      <c r="L5" s="15">
        <v>0</v>
      </c>
      <c r="M5" s="7" t="s">
        <v>29</v>
      </c>
      <c r="N5" s="7"/>
      <c r="O5" s="8" t="s">
        <v>28</v>
      </c>
      <c r="P5" s="15">
        <v>1</v>
      </c>
      <c r="Q5" s="7" t="s">
        <v>29</v>
      </c>
      <c r="S5" s="8" t="s">
        <v>30</v>
      </c>
      <c r="T5" s="7">
        <v>0</v>
      </c>
      <c r="U5" s="18" t="str">
        <f>CONCATENATE("RES_A.Xc4_restart = (open.X_c4*RES_A.V_inoculum+",T5,"*RES_A.V_add)/RES_A.V_liq;")</f>
        <v>RES_A.Xc4_restart = (open.X_c4*RES_A.V_inoculum+0*RES_A.V_add)/RES_A.V_liq;</v>
      </c>
    </row>
    <row r="6" spans="1:21" ht="18" customHeight="1" x14ac:dyDescent="0.3">
      <c r="A6" s="2" t="s">
        <v>31</v>
      </c>
      <c r="B6" s="9">
        <v>2.83</v>
      </c>
      <c r="C6" s="3" t="s">
        <v>32</v>
      </c>
      <c r="D6" s="7" t="s">
        <v>7</v>
      </c>
      <c r="K6" s="8" t="s">
        <v>33</v>
      </c>
      <c r="L6" s="16">
        <v>0</v>
      </c>
      <c r="M6" s="7" t="s">
        <v>34</v>
      </c>
      <c r="N6" s="7"/>
      <c r="O6" s="8" t="s">
        <v>33</v>
      </c>
      <c r="P6" s="16">
        <v>0</v>
      </c>
      <c r="Q6" s="7" t="s">
        <v>34</v>
      </c>
      <c r="S6" s="8" t="s">
        <v>35</v>
      </c>
      <c r="T6" s="7">
        <v>0</v>
      </c>
      <c r="U6" s="18" t="str">
        <f>CONCATENATE("RES_A.Xpro_restart = (open.X_pro*RES_A.V_inoculum+",T6,"*RES_A.V_add)/RES_A.V_liq;")</f>
        <v>RES_A.Xpro_restart = (open.X_pro*RES_A.V_inoculum+0*RES_A.V_add)/RES_A.V_liq;</v>
      </c>
    </row>
    <row r="7" spans="1:21" ht="18" customHeight="1" x14ac:dyDescent="0.3">
      <c r="A7" s="8" t="s">
        <v>36</v>
      </c>
      <c r="B7" s="9">
        <f>273.15+25</f>
        <v>298.14999999999998</v>
      </c>
      <c r="C7" s="7" t="s">
        <v>37</v>
      </c>
      <c r="D7" s="7" t="s">
        <v>38</v>
      </c>
      <c r="K7" s="8" t="s">
        <v>39</v>
      </c>
      <c r="L7" s="15">
        <v>0</v>
      </c>
      <c r="M7" s="7" t="s">
        <v>40</v>
      </c>
      <c r="N7" s="7"/>
      <c r="O7" s="8" t="s">
        <v>39</v>
      </c>
      <c r="P7" s="15">
        <v>0</v>
      </c>
      <c r="Q7" s="7" t="s">
        <v>40</v>
      </c>
      <c r="S7" s="8" t="s">
        <v>41</v>
      </c>
      <c r="T7" s="7">
        <v>0</v>
      </c>
      <c r="U7" s="18" t="str">
        <f>CONCATENATE("RES_A.Xac_restart = (open.X_ac*RES_A.V_inoculum+",T7,"*RES_A.V_add)/RES_A.V_liq;")</f>
        <v>RES_A.Xac_restart = (open.X_ac*RES_A.V_inoculum+0*RES_A.V_add)/RES_A.V_liq;</v>
      </c>
    </row>
    <row r="8" spans="1:21" ht="18" customHeight="1" x14ac:dyDescent="0.3">
      <c r="A8" s="8" t="s">
        <v>42</v>
      </c>
      <c r="B8" s="9">
        <v>0.08</v>
      </c>
      <c r="C8" s="7" t="s">
        <v>43</v>
      </c>
      <c r="D8" s="7"/>
      <c r="G8" s="36" t="s">
        <v>44</v>
      </c>
      <c r="H8" s="36"/>
      <c r="I8" s="36"/>
      <c r="K8" s="8" t="s">
        <v>45</v>
      </c>
      <c r="L8" s="16">
        <v>0</v>
      </c>
      <c r="M8" s="7" t="s">
        <v>46</v>
      </c>
      <c r="N8" s="7"/>
      <c r="O8" s="8" t="s">
        <v>45</v>
      </c>
      <c r="P8" s="16">
        <v>0</v>
      </c>
      <c r="Q8" s="7" t="s">
        <v>46</v>
      </c>
      <c r="S8" s="8" t="s">
        <v>47</v>
      </c>
      <c r="T8" s="7">
        <v>0</v>
      </c>
      <c r="U8" s="18" t="str">
        <f>CONCATENATE("RES_A.Xh2_restart = (open.X_h2*RES_A.V_inoculum+",T8,"*RES_A.V_add)/RES_A.V_liq;")</f>
        <v>RES_A.Xh2_restart = (open.X_h2*RES_A.V_inoculum+0*RES_A.V_add)/RES_A.V_liq;</v>
      </c>
    </row>
    <row r="9" spans="1:21" ht="18" customHeight="1" x14ac:dyDescent="0.3">
      <c r="A9" s="8" t="s">
        <v>48</v>
      </c>
      <c r="B9" s="17">
        <v>60</v>
      </c>
      <c r="C9" s="7" t="s">
        <v>49</v>
      </c>
      <c r="G9" s="8" t="s">
        <v>50</v>
      </c>
      <c r="H9" s="19">
        <f t="shared" ref="H9:H18" si="0">10^-B17</f>
        <v>1.7378008287493744E-5</v>
      </c>
      <c r="I9" s="7" t="s">
        <v>51</v>
      </c>
      <c r="K9" s="8" t="s">
        <v>52</v>
      </c>
      <c r="L9" s="16">
        <v>0</v>
      </c>
      <c r="M9" s="7" t="s">
        <v>46</v>
      </c>
      <c r="N9" s="7"/>
      <c r="O9" s="8" t="s">
        <v>52</v>
      </c>
      <c r="P9" s="16">
        <v>0</v>
      </c>
      <c r="Q9" s="7" t="s">
        <v>46</v>
      </c>
      <c r="S9" s="8" t="s">
        <v>53</v>
      </c>
      <c r="T9" s="7">
        <v>0</v>
      </c>
      <c r="U9" s="18" t="str">
        <f>CONCATENATE("RES_A.Xc_restart = (open.X_c*RES_A.V_inoculum+",T9,"*RES_A.V_add)/RES_A.V_liq;")</f>
        <v>RES_A.Xc_restart = (open.X_c*RES_A.V_inoculum+0*RES_A.V_add)/RES_A.V_liq;</v>
      </c>
    </row>
    <row r="10" spans="1:21" ht="18" customHeight="1" x14ac:dyDescent="0.3">
      <c r="A10" s="8" t="s">
        <v>54</v>
      </c>
      <c r="B10" s="17">
        <v>74</v>
      </c>
      <c r="C10" s="7" t="s">
        <v>49</v>
      </c>
      <c r="G10" s="8" t="s">
        <v>55</v>
      </c>
      <c r="H10" s="19">
        <f t="shared" si="0"/>
        <v>1.3182567385564052E-5</v>
      </c>
      <c r="I10" s="7" t="s">
        <v>51</v>
      </c>
      <c r="K10" s="8" t="s">
        <v>56</v>
      </c>
      <c r="L10" s="16">
        <v>0</v>
      </c>
      <c r="M10" s="7" t="s">
        <v>46</v>
      </c>
      <c r="N10" s="7"/>
      <c r="O10" s="8" t="s">
        <v>56</v>
      </c>
      <c r="P10" s="16">
        <v>0</v>
      </c>
      <c r="Q10" s="7" t="s">
        <v>46</v>
      </c>
      <c r="S10" s="8" t="s">
        <v>57</v>
      </c>
      <c r="T10" s="25">
        <f>(L28*$H$4/1000+P28*($H$2+$H$3)/1000)/($H$2+$H$3+$H$4)*1000</f>
        <v>0</v>
      </c>
      <c r="U10" s="18" t="str">
        <f>CONCATENATE("RES_A.Xi_restart = (open.X_i*RES_A.V_inoculum+",L27,"*RES_A.V_add)/RES_A.V_liq;")</f>
        <v>RES_A.Xi_restart = (open.X_i*RES_A.V_inoculum+0*RES_A.V_add)/RES_A.V_liq;</v>
      </c>
    </row>
    <row r="11" spans="1:21" ht="18" customHeight="1" x14ac:dyDescent="0.3">
      <c r="A11" s="8" t="s">
        <v>58</v>
      </c>
      <c r="B11" s="17">
        <v>88</v>
      </c>
      <c r="C11" s="7" t="s">
        <v>49</v>
      </c>
      <c r="G11" s="8" t="s">
        <v>59</v>
      </c>
      <c r="H11" s="19">
        <f t="shared" si="0"/>
        <v>1.5135612484362051E-5</v>
      </c>
      <c r="I11" s="7" t="s">
        <v>51</v>
      </c>
      <c r="K11" s="8" t="s">
        <v>60</v>
      </c>
      <c r="L11" s="16">
        <v>0</v>
      </c>
      <c r="M11" s="7" t="s">
        <v>46</v>
      </c>
      <c r="N11" s="7"/>
      <c r="O11" s="8" t="s">
        <v>60</v>
      </c>
      <c r="P11" s="16">
        <v>0</v>
      </c>
      <c r="Q11" s="7" t="s">
        <v>46</v>
      </c>
      <c r="S11" s="8" t="s">
        <v>61</v>
      </c>
      <c r="T11" s="25">
        <f>(L29*$H$4/1000+P29*($H$2+$H$3)/1000)/($H$2+$H$3+$H$4)*1000</f>
        <v>0</v>
      </c>
      <c r="U11" s="18" t="str">
        <f>CONCATENATE("RES_A.Xch1_restart = (open.X_ch[1]*RES_A.V_inoculum+",T11,"*RES_A.V_add)/RES_A.V_liq;")</f>
        <v>RES_A.Xch1_restart = (open.X_ch[1]*RES_A.V_inoculum+0*RES_A.V_add)/RES_A.V_liq;</v>
      </c>
    </row>
    <row r="12" spans="1:21" ht="18" customHeight="1" x14ac:dyDescent="0.3">
      <c r="A12" s="8" t="s">
        <v>62</v>
      </c>
      <c r="B12" s="17">
        <v>102</v>
      </c>
      <c r="C12" s="7" t="s">
        <v>49</v>
      </c>
      <c r="G12" s="8" t="s">
        <v>63</v>
      </c>
      <c r="H12" s="19">
        <f t="shared" si="0"/>
        <v>1.3803842646028827E-5</v>
      </c>
      <c r="I12" s="7" t="s">
        <v>51</v>
      </c>
      <c r="K12" s="8" t="s">
        <v>64</v>
      </c>
      <c r="L12" s="15">
        <v>0</v>
      </c>
      <c r="M12" s="7" t="s">
        <v>65</v>
      </c>
      <c r="N12" s="7"/>
      <c r="O12" s="8" t="s">
        <v>64</v>
      </c>
      <c r="P12" s="15">
        <v>0</v>
      </c>
      <c r="Q12" s="7" t="s">
        <v>65</v>
      </c>
      <c r="S12" s="8" t="s">
        <v>66</v>
      </c>
      <c r="T12" s="25">
        <f t="shared" ref="T12:T15" si="1">(L30*$H$4/1000+P30*($H$2+$H$3)/1000)/($H$2+$H$3+$H$4)*1000</f>
        <v>0</v>
      </c>
      <c r="U12" s="18" t="str">
        <f>CONCATENATE("RES_A.Xch2_restart = (open.X_ch[2]*RES_A.V_inoculum+",T12,"*RES_A.V_add)/RES_A.V_liq;")</f>
        <v>RES_A.Xch2_restart = (open.X_ch[2]*RES_A.V_inoculum+0*RES_A.V_add)/RES_A.V_liq;</v>
      </c>
    </row>
    <row r="13" spans="1:21" ht="18" customHeight="1" x14ac:dyDescent="0.3">
      <c r="A13" s="8" t="s">
        <v>67</v>
      </c>
      <c r="B13" s="17">
        <v>100</v>
      </c>
      <c r="C13" s="7" t="s">
        <v>49</v>
      </c>
      <c r="G13" s="8" t="s">
        <v>68</v>
      </c>
      <c r="H13" s="19">
        <f t="shared" si="0"/>
        <v>4.4668359215096327E-7</v>
      </c>
      <c r="I13" s="7" t="s">
        <v>51</v>
      </c>
      <c r="K13" s="8" t="s">
        <v>69</v>
      </c>
      <c r="L13" s="15">
        <v>0</v>
      </c>
      <c r="M13" s="7" t="s">
        <v>70</v>
      </c>
      <c r="N13" s="7"/>
      <c r="O13" s="8" t="s">
        <v>69</v>
      </c>
      <c r="P13" s="15">
        <v>0</v>
      </c>
      <c r="Q13" s="7" t="s">
        <v>70</v>
      </c>
      <c r="S13" s="8" t="s">
        <v>71</v>
      </c>
      <c r="T13" s="25">
        <f t="shared" si="1"/>
        <v>0</v>
      </c>
      <c r="U13" s="18" t="str">
        <f>CONCATENATE("RES_A.Xpr1_restart = (open.X_pr[1]*RES_A.V_inoculum+",T13,"*RES_A.V_add)/RES_A.V_liq;")</f>
        <v>RES_A.Xpr1_restart = (open.X_pr[1]*RES_A.V_inoculum+0*RES_A.V_add)/RES_A.V_liq;</v>
      </c>
    </row>
    <row r="14" spans="1:21" ht="18" customHeight="1" x14ac:dyDescent="0.3">
      <c r="A14" s="8" t="s">
        <v>72</v>
      </c>
      <c r="B14" s="17">
        <v>60</v>
      </c>
      <c r="C14" s="7" t="s">
        <v>49</v>
      </c>
      <c r="G14" s="8" t="s">
        <v>73</v>
      </c>
      <c r="H14" s="19">
        <f t="shared" si="0"/>
        <v>5.6234132519034889E-10</v>
      </c>
      <c r="I14" s="7" t="s">
        <v>51</v>
      </c>
      <c r="K14" s="8" t="s">
        <v>74</v>
      </c>
      <c r="L14" s="15">
        <v>0</v>
      </c>
      <c r="M14" s="7" t="s">
        <v>43</v>
      </c>
      <c r="N14" s="7"/>
      <c r="O14" s="8" t="s">
        <v>74</v>
      </c>
      <c r="P14" s="15">
        <v>7.5</v>
      </c>
      <c r="Q14" s="7" t="s">
        <v>43</v>
      </c>
      <c r="S14" s="8" t="s">
        <v>75</v>
      </c>
      <c r="T14" s="25">
        <f t="shared" si="1"/>
        <v>0</v>
      </c>
      <c r="U14" s="18" t="str">
        <f>CONCATENATE("RES_A.Xpr2_restart = (open.X_pr[2]*RES_A.V_inoculum+",T14,"*RES_A.V_add)/RES_A.V_liq;")</f>
        <v>RES_A.Xpr2_restart = (open.X_pr[2]*RES_A.V_inoculum+0*RES_A.V_add)/RES_A.V_liq;</v>
      </c>
    </row>
    <row r="15" spans="1:21" ht="18" customHeight="1" x14ac:dyDescent="0.3">
      <c r="A15" s="8" t="s">
        <v>76</v>
      </c>
      <c r="B15" s="17">
        <v>14</v>
      </c>
      <c r="C15" s="7" t="s">
        <v>49</v>
      </c>
      <c r="G15" s="8" t="s">
        <v>77</v>
      </c>
      <c r="H15" s="19">
        <f t="shared" si="0"/>
        <v>2.1379620895022253E-13</v>
      </c>
      <c r="I15" s="7" t="s">
        <v>51</v>
      </c>
      <c r="K15" s="8" t="s">
        <v>78</v>
      </c>
      <c r="L15" s="15">
        <v>0</v>
      </c>
      <c r="M15" s="7" t="s">
        <v>79</v>
      </c>
      <c r="N15" s="7"/>
      <c r="O15" s="8" t="s">
        <v>78</v>
      </c>
      <c r="P15" s="15">
        <v>404.4</v>
      </c>
      <c r="Q15" s="7" t="s">
        <v>79</v>
      </c>
      <c r="S15" s="8" t="s">
        <v>80</v>
      </c>
      <c r="T15" s="25">
        <f t="shared" si="1"/>
        <v>0</v>
      </c>
      <c r="U15" s="18" t="str">
        <f>CONCATENATE("RES_A.Xli_restart = (open.X_li*RES_A.V_inoculum+",T15,"*RES_A.V_add)/RES_A.V_liq;")</f>
        <v>RES_A.Xli_restart = (open.X_li*RES_A.V_inoculum+0*RES_A.V_add)/RES_A.V_liq;</v>
      </c>
    </row>
    <row r="16" spans="1:21" ht="18" customHeight="1" x14ac:dyDescent="0.3">
      <c r="A16" s="8" t="s">
        <v>81</v>
      </c>
      <c r="B16" s="17">
        <v>31</v>
      </c>
      <c r="C16" s="7" t="s">
        <v>49</v>
      </c>
      <c r="G16" s="8" t="s">
        <v>82</v>
      </c>
      <c r="H16" s="19">
        <f t="shared" si="0"/>
        <v>6.1659500186148087E-8</v>
      </c>
      <c r="I16" s="7" t="s">
        <v>51</v>
      </c>
      <c r="K16" s="8" t="s">
        <v>83</v>
      </c>
      <c r="L16" s="15">
        <v>0</v>
      </c>
      <c r="M16" s="7" t="s">
        <v>43</v>
      </c>
      <c r="N16" s="7"/>
      <c r="O16" s="8" t="s">
        <v>83</v>
      </c>
      <c r="P16" s="15">
        <v>0</v>
      </c>
      <c r="Q16" s="7" t="s">
        <v>43</v>
      </c>
      <c r="S16" s="8" t="s">
        <v>84</v>
      </c>
      <c r="T16" s="7">
        <v>0</v>
      </c>
      <c r="U16" s="18" t="str">
        <f>CONCATENATE("RES_A.Xp_restart = (open.X_p*RES_A.V_inoculum+",T16,"*RES_A.V_add)/RES_A.V_liq;")</f>
        <v>RES_A.Xp_restart = (open.X_p*RES_A.V_inoculum+0*RES_A.V_add)/RES_A.V_liq;</v>
      </c>
    </row>
    <row r="17" spans="1:21" ht="18" customHeight="1" x14ac:dyDescent="0.3">
      <c r="A17" s="8" t="s">
        <v>85</v>
      </c>
      <c r="B17" s="17">
        <v>4.76</v>
      </c>
      <c r="C17" s="7" t="s">
        <v>43</v>
      </c>
      <c r="G17" s="8" t="s">
        <v>86</v>
      </c>
      <c r="H17" s="19">
        <f t="shared" si="0"/>
        <v>7.5857757502918299E-3</v>
      </c>
      <c r="I17" s="7" t="s">
        <v>51</v>
      </c>
      <c r="K17" s="8" t="s">
        <v>87</v>
      </c>
      <c r="L17" s="15">
        <v>0</v>
      </c>
      <c r="M17" s="7" t="s">
        <v>43</v>
      </c>
      <c r="N17" s="7"/>
      <c r="O17" s="8" t="s">
        <v>87</v>
      </c>
      <c r="P17" s="15">
        <v>0</v>
      </c>
      <c r="Q17" s="7" t="s">
        <v>43</v>
      </c>
      <c r="S17" s="8" t="s">
        <v>88</v>
      </c>
      <c r="T17" s="7">
        <v>0</v>
      </c>
      <c r="U17" s="18" t="str">
        <f>CONCATENATE("RES_A.Si_restart = (open.S_i*RES_A.V_inoculum+",T17,"*RES_A.V_add)/RES_A.V_liq;")</f>
        <v>RES_A.Si_restart = (open.S_i*RES_A.V_inoculum+0*RES_A.V_add)/RES_A.V_liq;</v>
      </c>
    </row>
    <row r="18" spans="1:21" ht="18" customHeight="1" x14ac:dyDescent="0.3">
      <c r="A18" s="8" t="s">
        <v>89</v>
      </c>
      <c r="B18" s="17">
        <v>4.88</v>
      </c>
      <c r="C18" s="7" t="s">
        <v>43</v>
      </c>
      <c r="G18" s="8" t="s">
        <v>90</v>
      </c>
      <c r="H18" s="19">
        <f t="shared" si="0"/>
        <v>1E-14</v>
      </c>
      <c r="I18" s="7" t="s">
        <v>91</v>
      </c>
      <c r="K18" s="8" t="s">
        <v>92</v>
      </c>
      <c r="L18" s="15">
        <v>0</v>
      </c>
      <c r="M18" s="7" t="s">
        <v>43</v>
      </c>
      <c r="N18" s="7"/>
      <c r="O18" s="8" t="s">
        <v>92</v>
      </c>
      <c r="P18" s="15">
        <v>0</v>
      </c>
      <c r="Q18" s="7" t="s">
        <v>43</v>
      </c>
      <c r="S18" s="8" t="s">
        <v>93</v>
      </c>
      <c r="T18" s="7">
        <v>0</v>
      </c>
      <c r="U18" s="18" t="str">
        <f>CONCATENATE("RES_A.Ssu_restart = (open.S_su*RES_A.V_inoculum+",T18,"*RES_A.V_add)/RES_A.V_liq;")</f>
        <v>RES_A.Ssu_restart = (open.S_su*RES_A.V_inoculum+0*RES_A.V_add)/RES_A.V_liq;</v>
      </c>
    </row>
    <row r="19" spans="1:21" ht="18" customHeight="1" x14ac:dyDescent="0.3">
      <c r="A19" s="8" t="s">
        <v>94</v>
      </c>
      <c r="B19" s="17">
        <v>4.82</v>
      </c>
      <c r="C19" s="7" t="s">
        <v>43</v>
      </c>
      <c r="K19" s="8" t="s">
        <v>95</v>
      </c>
      <c r="L19" s="15">
        <v>0</v>
      </c>
      <c r="M19" s="7" t="s">
        <v>43</v>
      </c>
      <c r="N19" s="7"/>
      <c r="O19" s="8" t="s">
        <v>95</v>
      </c>
      <c r="P19" s="15">
        <v>0</v>
      </c>
      <c r="Q19" s="7" t="s">
        <v>43</v>
      </c>
      <c r="S19" s="8" t="s">
        <v>93</v>
      </c>
      <c r="T19" s="7">
        <v>0</v>
      </c>
      <c r="U19" s="18" t="str">
        <f>CONCATENATE("RES_A.Saa_restart = (open.S_aa*RES_A.V_inoculum+",T19,"*RES_A.V_add)/RES_A.V_liq;")</f>
        <v>RES_A.Saa_restart = (open.S_aa*RES_A.V_inoculum+0*RES_A.V_add)/RES_A.V_liq;</v>
      </c>
    </row>
    <row r="20" spans="1:21" ht="18" customHeight="1" x14ac:dyDescent="0.3">
      <c r="A20" s="8" t="s">
        <v>96</v>
      </c>
      <c r="B20" s="17">
        <v>4.8600000000000003</v>
      </c>
      <c r="C20" s="7" t="s">
        <v>43</v>
      </c>
      <c r="K20" s="8" t="s">
        <v>97</v>
      </c>
      <c r="L20" s="15">
        <v>0</v>
      </c>
      <c r="M20" s="7" t="s">
        <v>43</v>
      </c>
      <c r="N20" s="7"/>
      <c r="O20" s="8" t="s">
        <v>97</v>
      </c>
      <c r="P20" s="15">
        <v>0</v>
      </c>
      <c r="Q20" s="7" t="s">
        <v>43</v>
      </c>
      <c r="S20" s="8" t="s">
        <v>98</v>
      </c>
      <c r="T20" s="7">
        <v>0</v>
      </c>
      <c r="U20" s="18" t="str">
        <f>CONCATENATE("RES_A.Sfa_restart = (open.S_fa*RES_A.V_inoculum+",T20,"*RES_A.V_add)/RES_A.V_liq;")</f>
        <v>RES_A.Sfa_restart = (open.S_fa*RES_A.V_inoculum+0*RES_A.V_add)/RES_A.V_liq;</v>
      </c>
    </row>
    <row r="21" spans="1:21" ht="18" customHeight="1" x14ac:dyDescent="0.3">
      <c r="A21" s="8" t="s">
        <v>99</v>
      </c>
      <c r="B21" s="17">
        <v>6.35</v>
      </c>
      <c r="C21" s="7" t="s">
        <v>43</v>
      </c>
      <c r="K21" s="7"/>
      <c r="L21" s="7"/>
      <c r="M21" s="7"/>
      <c r="N21" s="7"/>
      <c r="O21" s="7"/>
      <c r="P21" s="7"/>
      <c r="S21" s="8" t="s">
        <v>100</v>
      </c>
      <c r="T21" s="25">
        <f>(L11*$H$4/1000+P11*($H$2+$H$3)/1000)/($H$2+$H$3+$H$4)*1000</f>
        <v>0</v>
      </c>
      <c r="U21" s="18" t="str">
        <f>CONCATENATE("RES_A.Sva_restart = (open.S_va*RES_A.V_inoculum+",T21,"*RES_A.V_add)/RES_A.V_liq;")</f>
        <v>RES_A.Sva_restart = (open.S_va*RES_A.V_inoculum+0*RES_A.V_add)/RES_A.V_liq;</v>
      </c>
    </row>
    <row r="22" spans="1:21" ht="18" customHeight="1" x14ac:dyDescent="0.3">
      <c r="A22" s="8" t="s">
        <v>101</v>
      </c>
      <c r="B22" s="17">
        <v>9.25</v>
      </c>
      <c r="C22" s="7" t="s">
        <v>43</v>
      </c>
      <c r="K22" s="36" t="s">
        <v>102</v>
      </c>
      <c r="L22" s="36"/>
      <c r="M22" s="36"/>
      <c r="N22" s="7"/>
      <c r="O22" s="36" t="s">
        <v>103</v>
      </c>
      <c r="P22" s="36"/>
      <c r="Q22" s="36"/>
      <c r="S22" s="8" t="s">
        <v>104</v>
      </c>
      <c r="T22" s="25">
        <f>(L10*$H$4/1000+P10*($H$2+$H$3)/1000)/($H$2+$H$3+$H$4)*1000</f>
        <v>0</v>
      </c>
      <c r="U22" s="18" t="str">
        <f>CONCATENATE("RES_A.Sbu_restart = (open.S_bu*RES_A.V_inoculum+",T22,"*RES_A.V_add)/RES_A.V_liq;")</f>
        <v>RES_A.Sbu_restart = (open.S_bu*RES_A.V_inoculum+0*RES_A.V_add)/RES_A.V_liq;</v>
      </c>
    </row>
    <row r="23" spans="1:21" ht="18" customHeight="1" x14ac:dyDescent="0.3">
      <c r="A23" s="8" t="s">
        <v>105</v>
      </c>
      <c r="B23" s="17">
        <v>12.67</v>
      </c>
      <c r="C23" s="7" t="s">
        <v>43</v>
      </c>
      <c r="E23" s="7"/>
      <c r="F23" s="7"/>
      <c r="G23" s="7"/>
      <c r="H23" s="7"/>
      <c r="I23" s="7"/>
      <c r="K23" s="8" t="s">
        <v>106</v>
      </c>
      <c r="L23" s="13">
        <f>$L$5*$L$3*$L$4/1000/1000*$B$2</f>
        <v>0</v>
      </c>
      <c r="M23" s="7" t="s">
        <v>107</v>
      </c>
      <c r="N23" s="7"/>
      <c r="O23" s="8" t="s">
        <v>106</v>
      </c>
      <c r="P23" s="13">
        <f>$P$5*$P$3*$P$4/1000/1000*$B$2</f>
        <v>0</v>
      </c>
      <c r="Q23" s="7" t="s">
        <v>107</v>
      </c>
      <c r="S23" s="8" t="s">
        <v>108</v>
      </c>
      <c r="T23" s="25">
        <f>(L9*$H$4/1000+P9*($H$2+$H$3)/1000)/($H$2+$H$3+$H$4)*1000</f>
        <v>0</v>
      </c>
      <c r="U23" s="18" t="str">
        <f>CONCATENATE("RES_A.Spro_restart = (open.S_pro*RES_A.V_inoculum+",T23,"*RES_A.V_add)/RES_A.V_liq;")</f>
        <v>RES_A.Spro_restart = (open.S_pro*RES_A.V_inoculum+0*RES_A.V_add)/RES_A.V_liq;</v>
      </c>
    </row>
    <row r="24" spans="1:21" ht="18" customHeight="1" x14ac:dyDescent="0.3">
      <c r="A24" s="8" t="s">
        <v>109</v>
      </c>
      <c r="B24" s="17">
        <v>7.21</v>
      </c>
      <c r="C24" s="7" t="s">
        <v>43</v>
      </c>
      <c r="E24" s="7"/>
      <c r="F24" s="7"/>
      <c r="G24" s="7"/>
      <c r="H24" s="7"/>
      <c r="I24" s="7"/>
      <c r="K24" s="8" t="s">
        <v>110</v>
      </c>
      <c r="L24" s="13">
        <f>$L$6*L3*$L$4/1000/1000*B4*B5</f>
        <v>0</v>
      </c>
      <c r="M24" s="7" t="s">
        <v>107</v>
      </c>
      <c r="N24" s="7"/>
      <c r="O24" s="8" t="s">
        <v>110</v>
      </c>
      <c r="P24" s="13">
        <f>$P$6*P3*$P$4/1000/1000*B4*B5</f>
        <v>0</v>
      </c>
      <c r="Q24" s="7" t="s">
        <v>107</v>
      </c>
      <c r="S24" s="8" t="s">
        <v>111</v>
      </c>
      <c r="T24" s="25">
        <f>(L8*$H$4/1000+P8*($H$2+$H$3)/1000)/($H$2+$H$3+$H$4)*1000</f>
        <v>0</v>
      </c>
      <c r="U24" s="18" t="str">
        <f>CONCATENATE("RES_A.Sac_restart = (open.S_ac*RES_A.V_inoculum+",T24,"*RES_A.V_add)/RES_A.V_liq;")</f>
        <v>RES_A.Sac_restart = (open.S_ac*RES_A.V_inoculum+0*RES_A.V_add)/RES_A.V_liq;</v>
      </c>
    </row>
    <row r="25" spans="1:21" ht="18" customHeight="1" x14ac:dyDescent="0.3">
      <c r="A25" s="8" t="s">
        <v>112</v>
      </c>
      <c r="B25" s="17">
        <v>2.12</v>
      </c>
      <c r="C25" s="7" t="s">
        <v>43</v>
      </c>
      <c r="E25" s="7"/>
      <c r="F25" s="7"/>
      <c r="G25" s="7"/>
      <c r="H25" s="7"/>
      <c r="I25" s="7"/>
      <c r="K25" s="8" t="s">
        <v>113</v>
      </c>
      <c r="L25" s="13">
        <f>$L$7*L3*$L$4/1000/1000*B6</f>
        <v>0</v>
      </c>
      <c r="M25" s="7" t="s">
        <v>107</v>
      </c>
      <c r="N25" s="7"/>
      <c r="O25" s="8" t="s">
        <v>113</v>
      </c>
      <c r="P25" s="13">
        <f>$P$7*P3*$P$4/1000/1000*B6</f>
        <v>0</v>
      </c>
      <c r="Q25" s="7" t="s">
        <v>107</v>
      </c>
      <c r="S25" s="8" t="s">
        <v>114</v>
      </c>
      <c r="T25" s="7">
        <v>0</v>
      </c>
      <c r="U25" s="18" t="str">
        <f>CONCATENATE("RES_A.Sh2_restart = (open.S_h2*RES_A.V_inoculum+",T25,"*RES_A.V_add)/RES_A.V_liq;")</f>
        <v>RES_A.Sh2_restart = (open.S_h2*RES_A.V_inoculum+0*RES_A.V_add)/RES_A.V_liq;</v>
      </c>
    </row>
    <row r="26" spans="1:21" ht="18" customHeight="1" x14ac:dyDescent="0.3">
      <c r="A26" s="8" t="s">
        <v>115</v>
      </c>
      <c r="B26" s="17">
        <v>14</v>
      </c>
      <c r="C26" s="7" t="s">
        <v>43</v>
      </c>
      <c r="E26" s="7"/>
      <c r="F26" s="7"/>
      <c r="G26" s="7"/>
      <c r="H26" s="7"/>
      <c r="I26" s="7"/>
      <c r="K26" s="8" t="s">
        <v>116</v>
      </c>
      <c r="L26" s="13">
        <f>IF(L3=0,0,SUM(L23:L25,L8:L11))</f>
        <v>0</v>
      </c>
      <c r="M26" s="7" t="s">
        <v>107</v>
      </c>
      <c r="N26" s="7"/>
      <c r="O26" s="8" t="s">
        <v>116</v>
      </c>
      <c r="P26" s="13">
        <f>IF(P3=0,0,SUM(P23:P25,P8:P11))</f>
        <v>0</v>
      </c>
      <c r="Q26" s="7" t="s">
        <v>107</v>
      </c>
      <c r="S26" s="8" t="s">
        <v>117</v>
      </c>
      <c r="T26" s="7">
        <v>0</v>
      </c>
      <c r="U26" s="18" t="str">
        <f>CONCATENATE("RES_A.Sch4_restart = (open.S_ch4*RES_A.V_inoculum+",T26,"*RES_A.V_add)/RES_A.V_liq;")</f>
        <v>RES_A.Sch4_restart = (open.S_ch4*RES_A.V_inoculum+0*RES_A.V_add)/RES_A.V_liq;</v>
      </c>
    </row>
    <row r="27" spans="1:21" ht="18" customHeight="1" x14ac:dyDescent="0.3">
      <c r="A27" s="8" t="s">
        <v>118</v>
      </c>
      <c r="B27" s="17">
        <v>64</v>
      </c>
      <c r="C27" s="7" t="s">
        <v>119</v>
      </c>
      <c r="E27" s="7"/>
      <c r="F27" s="7"/>
      <c r="G27" s="7"/>
      <c r="H27" s="7"/>
      <c r="I27" s="7"/>
      <c r="K27" s="8" t="s">
        <v>120</v>
      </c>
      <c r="L27" s="13">
        <f>IF(L3=0,0,$L$2*$L$3*$L$4/1000/$L$26/(350*(1-$B$8)))</f>
        <v>0</v>
      </c>
      <c r="M27" s="7" t="s">
        <v>43</v>
      </c>
      <c r="N27" s="7"/>
      <c r="O27" s="8" t="s">
        <v>120</v>
      </c>
      <c r="P27" s="13">
        <f>IF(P3=0,0,$P$2*$P$3*$P$4/1000/$P$26/(350*(1-$B$8)))</f>
        <v>0</v>
      </c>
      <c r="Q27" s="7" t="s">
        <v>43</v>
      </c>
      <c r="S27" s="8" t="s">
        <v>121</v>
      </c>
      <c r="T27" s="25">
        <f>IF(L15=0,(P54*($H$2+$H$3)/1000)/($H$2+$H$3+$H$4)*1000,(L54*$H$4/1000+P54*($H$2+$H$3)/1000)/($H$2+$H$3+$H$4)*1000)</f>
        <v>8.6602817969302272E-3</v>
      </c>
      <c r="U27" s="18" t="str">
        <f>CONCATENATE("RES_A.Sic_restart = (open.S_ic*RES_A.V_inoculum+",T27,"*RES_A.V_add)/RES_A.V_liq;")</f>
        <v>RES_A.Sic_restart = (open.S_ic*RES_A.V_inoculum+0.00866028179693023*RES_A.V_add)/RES_A.V_liq;</v>
      </c>
    </row>
    <row r="28" spans="1:21" ht="18" customHeight="1" x14ac:dyDescent="0.3">
      <c r="A28" s="8" t="s">
        <v>122</v>
      </c>
      <c r="B28" s="17">
        <v>112</v>
      </c>
      <c r="C28" s="7" t="s">
        <v>119</v>
      </c>
      <c r="E28" s="7"/>
      <c r="F28" s="7"/>
      <c r="G28" s="7"/>
      <c r="H28" s="7"/>
      <c r="I28" s="7"/>
      <c r="K28" s="8" t="s">
        <v>57</v>
      </c>
      <c r="L28" s="26">
        <f>(1-$L$27)*$L$26</f>
        <v>0</v>
      </c>
      <c r="M28" s="7" t="s">
        <v>107</v>
      </c>
      <c r="O28" s="8" t="s">
        <v>57</v>
      </c>
      <c r="P28" s="26">
        <f>(1-$P$27)*$P$26</f>
        <v>0</v>
      </c>
      <c r="Q28" s="7" t="s">
        <v>107</v>
      </c>
      <c r="S28" s="22" t="s">
        <v>123</v>
      </c>
      <c r="T28" s="25">
        <f>(L44*$H$4/1000+P44*($H$2+$H$3)/1000)/($H$2+$H$3+$H$4)*1000</f>
        <v>0</v>
      </c>
      <c r="U28" s="18" t="str">
        <f>CONCATENATE("RES_A.Sin_restart = (open.S_in*RES_A.V_inoculum+",T28,"*RES_A.V_add)/RES_A.V_liq;")</f>
        <v>RES_A.Sin_restart = (open.S_in*RES_A.V_inoculum+0*RES_A.V_add)/RES_A.V_liq;</v>
      </c>
    </row>
    <row r="29" spans="1:21" ht="18" customHeight="1" x14ac:dyDescent="0.3">
      <c r="A29" s="8" t="s">
        <v>124</v>
      </c>
      <c r="B29" s="17">
        <v>160</v>
      </c>
      <c r="C29" s="7" t="s">
        <v>119</v>
      </c>
      <c r="E29" s="7"/>
      <c r="F29" s="7"/>
      <c r="G29" s="7"/>
      <c r="H29" s="7"/>
      <c r="I29" s="7"/>
      <c r="K29" s="8" t="s">
        <v>61</v>
      </c>
      <c r="L29" s="26">
        <f>(1-$L$19)*($L$23-$L$28*$L$16)</f>
        <v>0</v>
      </c>
      <c r="M29" s="7" t="s">
        <v>107</v>
      </c>
      <c r="O29" s="8" t="s">
        <v>61</v>
      </c>
      <c r="P29" s="26">
        <f>(1-$P$19)*($P$23-$P$28*$P$16)</f>
        <v>0</v>
      </c>
      <c r="Q29" s="7" t="s">
        <v>107</v>
      </c>
      <c r="S29" s="8" t="s">
        <v>125</v>
      </c>
      <c r="T29" s="25">
        <f>(L47*$H$4/1000+P47*($H$2+$H$3)/1000)/($H$2+$H$3+$H$4)*1000</f>
        <v>0</v>
      </c>
      <c r="U29" s="18" t="str">
        <f>CONCATENATE("RES_A.Sip_restart = (open.S_ip*RES_A.V_inoculum+",T29,"*RES_A.V_add)/RES_A.V_liq;")</f>
        <v>RES_A.Sip_restart = (open.S_ip*RES_A.V_inoculum+0*RES_A.V_add)/RES_A.V_liq;</v>
      </c>
    </row>
    <row r="30" spans="1:21" ht="18" customHeight="1" x14ac:dyDescent="0.3">
      <c r="A30" s="8" t="s">
        <v>126</v>
      </c>
      <c r="B30" s="17">
        <v>208</v>
      </c>
      <c r="C30" s="7" t="s">
        <v>119</v>
      </c>
      <c r="K30" s="8" t="s">
        <v>66</v>
      </c>
      <c r="L30" s="26">
        <f>($L$19)*($L$23-$L$28*$L$16)</f>
        <v>0</v>
      </c>
      <c r="M30" s="7" t="s">
        <v>107</v>
      </c>
      <c r="O30" s="8" t="s">
        <v>66</v>
      </c>
      <c r="P30" s="26">
        <f>($P$19)*($P$23-$P$28*$P$16)</f>
        <v>0</v>
      </c>
      <c r="Q30" s="7" t="s">
        <v>107</v>
      </c>
      <c r="S30" s="8" t="s">
        <v>127</v>
      </c>
      <c r="T30" s="21">
        <f>N80</f>
        <v>2.0000284604989416E-2</v>
      </c>
      <c r="U30" s="18" t="str">
        <f>CONCATENATE("RES_A.Scat_restart = (open.S_cat*RES_A.V_inoculum+",T30,"*RES_A.V_add)/RES_A.V_liq;")</f>
        <v>RES_A.Scat_restart = (open.S_cat*RES_A.V_inoculum+0.0200002846049894*RES_A.V_add)/RES_A.V_liq;</v>
      </c>
    </row>
    <row r="31" spans="1:21" ht="18" customHeight="1" x14ac:dyDescent="0.3">
      <c r="K31" s="8" t="s">
        <v>71</v>
      </c>
      <c r="L31" s="26">
        <f>(1-$L$20)*($L$24-$L$28*$L$17)</f>
        <v>0</v>
      </c>
      <c r="M31" s="7" t="s">
        <v>107</v>
      </c>
      <c r="O31" s="8" t="s">
        <v>71</v>
      </c>
      <c r="P31" s="26">
        <f>(1-$P$20)*($P$24-$P$28*$P$17)</f>
        <v>0</v>
      </c>
      <c r="Q31" s="7" t="s">
        <v>107</v>
      </c>
      <c r="S31" s="8" t="s">
        <v>128</v>
      </c>
      <c r="T31" s="30">
        <v>0</v>
      </c>
      <c r="U31" s="18" t="str">
        <f>CONCATENATE("RES_A.Sca_restart = (open.S_ca*RES_A.V_inoculum+",T31,"*RES_A.V_add)/RES_A.V_liq;")</f>
        <v>RES_A.Sca_restart = (open.S_ca*RES_A.V_inoculum+0*RES_A.V_add)/RES_A.V_liq;</v>
      </c>
    </row>
    <row r="32" spans="1:21" ht="18" customHeight="1" x14ac:dyDescent="0.3">
      <c r="K32" s="8" t="s">
        <v>75</v>
      </c>
      <c r="L32" s="26">
        <f>($L$20)*($L$24-$L$28*$L$17)</f>
        <v>0</v>
      </c>
      <c r="M32" s="7" t="s">
        <v>107</v>
      </c>
      <c r="O32" s="8" t="s">
        <v>75</v>
      </c>
      <c r="P32" s="26">
        <f>($P$20)*($P$24-$P$28*$P$17)</f>
        <v>0</v>
      </c>
      <c r="Q32" s="7" t="s">
        <v>107</v>
      </c>
      <c r="S32" s="8" t="s">
        <v>129</v>
      </c>
      <c r="T32" s="30">
        <v>0</v>
      </c>
      <c r="U32" s="18" t="str">
        <f>CONCATENATE("RES_A.Smg_restart = (open.S_mg*RES_A.V_inoculum+",T32,"*RES_A.V_add)/RES_A.V_liq;")</f>
        <v>RES_A.Smg_restart = (open.S_mg*RES_A.V_inoculum+0*RES_A.V_add)/RES_A.V_liq;</v>
      </c>
    </row>
    <row r="33" spans="1:21" ht="18" customHeight="1" x14ac:dyDescent="0.3">
      <c r="K33" s="8" t="s">
        <v>80</v>
      </c>
      <c r="L33" s="26">
        <f>($L$25-$L$28*$L$18)</f>
        <v>0</v>
      </c>
      <c r="M33" s="7" t="s">
        <v>107</v>
      </c>
      <c r="O33" s="8" t="s">
        <v>80</v>
      </c>
      <c r="P33" s="26">
        <f>($P$25-$P$28*$P$18)</f>
        <v>0</v>
      </c>
      <c r="Q33" s="7" t="s">
        <v>107</v>
      </c>
      <c r="S33" s="8" t="s">
        <v>130</v>
      </c>
      <c r="T33" s="21">
        <f>N79</f>
        <v>0.02</v>
      </c>
      <c r="U33" s="18" t="str">
        <f>CONCATENATE("RES_A.San_restart = (open.S_an*RES_A.V_inoculum+",T33,"*RES_A.V_add)/RES_A.V_liq;")</f>
        <v>RES_A.San_restart = (open.S_an*RES_A.V_inoculum+0.02*RES_A.V_add)/RES_A.V_liq;</v>
      </c>
    </row>
    <row r="34" spans="1:21" ht="18" customHeight="1" x14ac:dyDescent="0.3">
      <c r="K34" s="8" t="s">
        <v>100</v>
      </c>
      <c r="L34" s="13">
        <f>L11</f>
        <v>0</v>
      </c>
      <c r="M34" s="7" t="s">
        <v>107</v>
      </c>
      <c r="O34" s="8" t="s">
        <v>100</v>
      </c>
      <c r="P34" s="13">
        <f>P11</f>
        <v>0</v>
      </c>
      <c r="Q34" s="7" t="s">
        <v>107</v>
      </c>
      <c r="S34" s="8" t="s">
        <v>131</v>
      </c>
      <c r="T34" s="7">
        <v>0</v>
      </c>
      <c r="U34" s="18" t="str">
        <f>CONCATENATE("RES_A.ash_restart = (open.ash*RES_A.V_inoculum+",T34,"*RES_A.V_add)/RES_A.V_liq;")</f>
        <v>RES_A.ash_restart = (open.ash*RES_A.V_inoculum+0*RES_A.V_add)/RES_A.V_liq;</v>
      </c>
    </row>
    <row r="35" spans="1:21" ht="18" customHeight="1" x14ac:dyDescent="0.3">
      <c r="A35" s="2"/>
      <c r="K35" s="8" t="s">
        <v>104</v>
      </c>
      <c r="L35" s="13">
        <f>L10</f>
        <v>0</v>
      </c>
      <c r="M35" s="7" t="s">
        <v>107</v>
      </c>
      <c r="O35" s="8" t="s">
        <v>104</v>
      </c>
      <c r="P35" s="13">
        <f>P10</f>
        <v>0</v>
      </c>
      <c r="Q35" s="7" t="s">
        <v>107</v>
      </c>
      <c r="S35" s="8" t="s">
        <v>132</v>
      </c>
      <c r="T35" s="7">
        <v>0</v>
      </c>
      <c r="U35" s="18" t="str">
        <f>CONCATENATE("RES_A.Xlig_restart = (open.X_lig*RES_A.V_inoculum+",T35,"*RES_A.V_add)/RES_A.V_liq;")</f>
        <v>RES_A.Xlig_restart = (open.X_lig*RES_A.V_inoculum+0*RES_A.V_add)/RES_A.V_liq;</v>
      </c>
    </row>
    <row r="36" spans="1:21" ht="18" customHeight="1" x14ac:dyDescent="0.3">
      <c r="K36" s="8" t="s">
        <v>108</v>
      </c>
      <c r="L36" s="13">
        <f>L9</f>
        <v>0</v>
      </c>
      <c r="M36" s="7" t="s">
        <v>107</v>
      </c>
      <c r="O36" s="8" t="s">
        <v>108</v>
      </c>
      <c r="P36" s="13">
        <f>P9</f>
        <v>0</v>
      </c>
      <c r="Q36" s="7" t="s">
        <v>107</v>
      </c>
    </row>
    <row r="37" spans="1:21" ht="18" customHeight="1" x14ac:dyDescent="0.3">
      <c r="K37" s="8" t="s">
        <v>111</v>
      </c>
      <c r="L37" s="13">
        <f>L8</f>
        <v>0</v>
      </c>
      <c r="M37" s="7" t="s">
        <v>107</v>
      </c>
      <c r="O37" s="8" t="s">
        <v>111</v>
      </c>
      <c r="P37" s="13">
        <f>P8</f>
        <v>0</v>
      </c>
      <c r="Q37" s="7" t="s">
        <v>107</v>
      </c>
    </row>
    <row r="38" spans="1:21" ht="18" customHeight="1" x14ac:dyDescent="0.3">
      <c r="K38" s="2" t="s">
        <v>133</v>
      </c>
      <c r="L38" s="20">
        <f>IF(L14=0,0,(10^(-L14)))</f>
        <v>0</v>
      </c>
      <c r="M38" s="1" t="s">
        <v>51</v>
      </c>
      <c r="O38" s="2" t="s">
        <v>133</v>
      </c>
      <c r="P38" s="20">
        <f>IF(P14=0,0,(10^(-P14)))</f>
        <v>3.1622776601683699E-8</v>
      </c>
      <c r="Q38" s="1" t="s">
        <v>51</v>
      </c>
    </row>
    <row r="39" spans="1:21" ht="18" customHeight="1" x14ac:dyDescent="0.3">
      <c r="K39" s="2" t="s">
        <v>134</v>
      </c>
      <c r="L39" s="20">
        <f>IF(L14=0,0,$H$18/L38)</f>
        <v>0</v>
      </c>
      <c r="M39" s="1" t="s">
        <v>51</v>
      </c>
      <c r="O39" s="2" t="s">
        <v>134</v>
      </c>
      <c r="P39" s="20">
        <f>IF(P14=0,0,$H$18/P38)</f>
        <v>3.1622776601683887E-7</v>
      </c>
      <c r="Q39" s="1" t="s">
        <v>51</v>
      </c>
    </row>
    <row r="40" spans="1:21" ht="18" customHeight="1" x14ac:dyDescent="0.3">
      <c r="A40" s="8"/>
      <c r="K40" s="2" t="s">
        <v>135</v>
      </c>
      <c r="L40" s="20">
        <f>L8/$B$27*$H$9/(L38+$H$9)</f>
        <v>0</v>
      </c>
      <c r="M40" s="1" t="s">
        <v>51</v>
      </c>
      <c r="O40" s="2" t="s">
        <v>135</v>
      </c>
      <c r="P40" s="20">
        <f>P8/$B$27*$H$9/(P38+$H$9)</f>
        <v>0</v>
      </c>
      <c r="Q40" s="1" t="s">
        <v>51</v>
      </c>
    </row>
    <row r="41" spans="1:21" ht="18" customHeight="1" x14ac:dyDescent="0.3">
      <c r="K41" s="2" t="s">
        <v>136</v>
      </c>
      <c r="L41" s="20">
        <f>L9/$B$28*$H$10/(L38+$H$10)</f>
        <v>0</v>
      </c>
      <c r="M41" s="1" t="s">
        <v>51</v>
      </c>
      <c r="O41" s="2" t="s">
        <v>136</v>
      </c>
      <c r="P41" s="20">
        <f>P9/$B$28*$H$10/(P38+$H$10)</f>
        <v>0</v>
      </c>
      <c r="Q41" s="1" t="s">
        <v>51</v>
      </c>
    </row>
    <row r="42" spans="1:21" ht="18" customHeight="1" x14ac:dyDescent="0.3">
      <c r="K42" s="2" t="s">
        <v>137</v>
      </c>
      <c r="L42" s="20">
        <f>L10/$B$29*$H$11/(L38+$H$11)</f>
        <v>0</v>
      </c>
      <c r="M42" s="1" t="s">
        <v>51</v>
      </c>
      <c r="O42" s="2" t="s">
        <v>137</v>
      </c>
      <c r="P42" s="20">
        <f>P10/$B$29*$H$11/(P38+$H$11)</f>
        <v>0</v>
      </c>
      <c r="Q42" s="1" t="s">
        <v>51</v>
      </c>
    </row>
    <row r="43" spans="1:21" ht="18" customHeight="1" x14ac:dyDescent="0.3">
      <c r="K43" s="2" t="s">
        <v>138</v>
      </c>
      <c r="L43" s="20">
        <f>L11/$B$30*$H$12/(L38+$H$12)</f>
        <v>0</v>
      </c>
      <c r="M43" s="1" t="s">
        <v>51</v>
      </c>
      <c r="O43" s="2" t="s">
        <v>138</v>
      </c>
      <c r="P43" s="20">
        <f>P11/$B$30*$H$12/(P38+$H$12)</f>
        <v>0</v>
      </c>
      <c r="Q43" s="1" t="s">
        <v>51</v>
      </c>
    </row>
    <row r="44" spans="1:21" ht="18" customHeight="1" x14ac:dyDescent="0.3">
      <c r="K44" s="2" t="s">
        <v>123</v>
      </c>
      <c r="L44" s="20">
        <f>L12/$B$15/1000</f>
        <v>0</v>
      </c>
      <c r="M44" s="1" t="s">
        <v>51</v>
      </c>
      <c r="O44" s="2" t="s">
        <v>123</v>
      </c>
      <c r="P44" s="20">
        <f>P12/$B$15/1000</f>
        <v>0</v>
      </c>
      <c r="Q44" s="1" t="s">
        <v>51</v>
      </c>
    </row>
    <row r="45" spans="1:21" ht="18" customHeight="1" x14ac:dyDescent="0.3">
      <c r="K45" s="2" t="s">
        <v>139</v>
      </c>
      <c r="L45" s="20">
        <f>L44*L38/($H$14+L38)</f>
        <v>0</v>
      </c>
      <c r="M45" s="1" t="s">
        <v>51</v>
      </c>
      <c r="O45" s="2" t="s">
        <v>139</v>
      </c>
      <c r="P45" s="20">
        <f>P44*P38/($H$14+P38)</f>
        <v>0</v>
      </c>
      <c r="Q45" s="1" t="s">
        <v>51</v>
      </c>
    </row>
    <row r="46" spans="1:21" ht="18" customHeight="1" x14ac:dyDescent="0.3">
      <c r="K46" s="2" t="s">
        <v>140</v>
      </c>
      <c r="L46" s="20">
        <f>L44-L45</f>
        <v>0</v>
      </c>
      <c r="M46" s="1" t="s">
        <v>51</v>
      </c>
      <c r="O46" s="2" t="s">
        <v>140</v>
      </c>
      <c r="P46" s="20">
        <f>P44-P45</f>
        <v>0</v>
      </c>
      <c r="Q46" s="1" t="s">
        <v>51</v>
      </c>
    </row>
    <row r="47" spans="1:21" ht="18" customHeight="1" x14ac:dyDescent="0.3">
      <c r="K47" s="2" t="s">
        <v>125</v>
      </c>
      <c r="L47" s="20">
        <f>L13/$B$16/1000</f>
        <v>0</v>
      </c>
      <c r="M47" s="6" t="s">
        <v>51</v>
      </c>
      <c r="O47" s="2" t="s">
        <v>125</v>
      </c>
      <c r="P47" s="20">
        <f>P13/$B$16/1000</f>
        <v>0</v>
      </c>
      <c r="Q47" s="6" t="s">
        <v>51</v>
      </c>
    </row>
    <row r="48" spans="1:21" ht="18" customHeight="1" x14ac:dyDescent="0.3">
      <c r="K48" s="2" t="s">
        <v>141</v>
      </c>
      <c r="L48" s="20">
        <f>$H$15*L47/($H$15+L38+L38^2/$H$16+L38^3/($H$16*$H$17))</f>
        <v>0</v>
      </c>
      <c r="M48" s="6" t="s">
        <v>51</v>
      </c>
      <c r="O48" s="2" t="s">
        <v>141</v>
      </c>
      <c r="P48" s="20">
        <f>$H$15*P47/($H$15+P38+P38^2/$H$16+P38^3/($H$16*$H$17))</f>
        <v>0</v>
      </c>
      <c r="Q48" s="6" t="s">
        <v>51</v>
      </c>
    </row>
    <row r="49" spans="11:17" ht="18" customHeight="1" x14ac:dyDescent="0.3">
      <c r="K49" s="2" t="s">
        <v>142</v>
      </c>
      <c r="L49" s="27" t="e">
        <f>$H$16*L47/($H$15*$H$16/L38+$H$16+L38+(L38^2)/$H$17)</f>
        <v>#DIV/0!</v>
      </c>
      <c r="M49" s="6" t="s">
        <v>51</v>
      </c>
      <c r="O49" s="2" t="s">
        <v>142</v>
      </c>
      <c r="P49" s="20">
        <f>$H$16*P47/($H$15*$H$16/P38+$H$16+P38+(P38^2)/$H$17)</f>
        <v>0</v>
      </c>
      <c r="Q49" s="6" t="s">
        <v>51</v>
      </c>
    </row>
    <row r="50" spans="11:17" ht="18" customHeight="1" x14ac:dyDescent="0.3">
      <c r="K50" s="2" t="s">
        <v>143</v>
      </c>
      <c r="L50" s="27" t="e">
        <f>L47*$H$17/(L38+$H$17+$H$17*$H$16/L38+$H$17*$H$16*$H$15/(L38^2))</f>
        <v>#DIV/0!</v>
      </c>
      <c r="M50" s="6" t="s">
        <v>51</v>
      </c>
      <c r="O50" s="2" t="s">
        <v>143</v>
      </c>
      <c r="P50" s="20">
        <f>P47*$H$17/(P38+$H$17+$H$17*$H$16/P38+$H$17*$H$16*$H$15/(P38^2))</f>
        <v>0</v>
      </c>
      <c r="Q50" s="6" t="s">
        <v>51</v>
      </c>
    </row>
    <row r="51" spans="11:17" ht="18" customHeight="1" x14ac:dyDescent="0.3">
      <c r="K51" s="2" t="s">
        <v>144</v>
      </c>
      <c r="L51" s="20" t="e">
        <f>L47-L48-L49-L50</f>
        <v>#DIV/0!</v>
      </c>
      <c r="M51" s="6" t="s">
        <v>51</v>
      </c>
      <c r="O51" s="2" t="s">
        <v>144</v>
      </c>
      <c r="P51" s="20">
        <f>P47-P48-P49-P50</f>
        <v>0</v>
      </c>
      <c r="Q51" s="6" t="s">
        <v>51</v>
      </c>
    </row>
    <row r="52" spans="11:17" ht="18" customHeight="1" x14ac:dyDescent="0.3">
      <c r="K52" s="2" t="s">
        <v>145</v>
      </c>
      <c r="L52" s="24">
        <f>L15/$B$13*2/1000</f>
        <v>0</v>
      </c>
      <c r="M52" s="1" t="s">
        <v>51</v>
      </c>
      <c r="O52" s="2" t="s">
        <v>145</v>
      </c>
      <c r="P52" s="24">
        <f>P15/$B$13*2/1000</f>
        <v>8.0879999999999997E-3</v>
      </c>
      <c r="Q52" s="1" t="s">
        <v>51</v>
      </c>
    </row>
    <row r="53" spans="11:17" ht="18" customHeight="1" x14ac:dyDescent="0.3">
      <c r="K53" s="2" t="s">
        <v>146</v>
      </c>
      <c r="L53" s="24" t="e">
        <f>L52-SUM(L40:L43)-L39+L38-L46-L49-2*L48+L51</f>
        <v>#DIV/0!</v>
      </c>
      <c r="M53" s="1" t="s">
        <v>51</v>
      </c>
      <c r="O53" s="2" t="s">
        <v>146</v>
      </c>
      <c r="P53" s="24">
        <f>P52-SUM(P40:P43)-P39+P38-P46-P49-2*P48+P51</f>
        <v>8.0877153950105855E-3</v>
      </c>
      <c r="Q53" s="1" t="s">
        <v>51</v>
      </c>
    </row>
    <row r="54" spans="11:17" ht="18" customHeight="1" x14ac:dyDescent="0.3">
      <c r="K54" s="2" t="s">
        <v>121</v>
      </c>
      <c r="L54" s="24" t="e">
        <f>L53*(L38+$H$13)/$H$13</f>
        <v>#DIV/0!</v>
      </c>
      <c r="M54" s="1" t="s">
        <v>51</v>
      </c>
      <c r="O54" s="2" t="s">
        <v>121</v>
      </c>
      <c r="P54" s="24">
        <f>P53*(P38+$H$13)/$H$13</f>
        <v>8.6602817969302272E-3</v>
      </c>
      <c r="Q54" s="1" t="s">
        <v>51</v>
      </c>
    </row>
    <row r="55" spans="11:17" ht="18" customHeight="1" x14ac:dyDescent="0.3">
      <c r="K55" s="2" t="s">
        <v>147</v>
      </c>
      <c r="L55" s="24" t="e">
        <f>L54-L53</f>
        <v>#DIV/0!</v>
      </c>
      <c r="M55" s="1" t="s">
        <v>51</v>
      </c>
      <c r="O55" s="2" t="s">
        <v>147</v>
      </c>
      <c r="P55" s="24">
        <f>P54-P53</f>
        <v>5.7256640191964171E-4</v>
      </c>
      <c r="Q55" s="1" t="s">
        <v>51</v>
      </c>
    </row>
    <row r="56" spans="11:17" ht="18" customHeight="1" x14ac:dyDescent="0.3">
      <c r="K56" s="2" t="s">
        <v>148</v>
      </c>
      <c r="L56" s="23" t="e">
        <f>L38-L39-L40-L41-L42-L43+L45-3*L48-2*L49-L50+L57</f>
        <v>#DIV/0!</v>
      </c>
      <c r="M56" s="1" t="s">
        <v>149</v>
      </c>
      <c r="O56" s="2" t="s">
        <v>148</v>
      </c>
      <c r="P56" s="23">
        <f>P38-P39-P40-P41-P42-P43+P45-3*P48-2*P49-P50+P57</f>
        <v>0</v>
      </c>
      <c r="Q56" s="1" t="s">
        <v>149</v>
      </c>
    </row>
    <row r="57" spans="11:17" ht="18" customHeight="1" x14ac:dyDescent="0.3">
      <c r="K57" s="2" t="s">
        <v>150</v>
      </c>
      <c r="L57" s="4">
        <v>1.374055332182025</v>
      </c>
      <c r="M57" s="1" t="s">
        <v>51</v>
      </c>
      <c r="O57" s="2" t="s">
        <v>150</v>
      </c>
      <c r="P57" s="4">
        <v>2.8460498941515519E-7</v>
      </c>
      <c r="Q57" s="1" t="s">
        <v>51</v>
      </c>
    </row>
    <row r="58" spans="11:17" ht="18" customHeight="1" x14ac:dyDescent="0.3">
      <c r="K58" s="2" t="s">
        <v>130</v>
      </c>
      <c r="L58" s="28">
        <v>0.02</v>
      </c>
      <c r="M58" s="1" t="s">
        <v>51</v>
      </c>
      <c r="O58" s="2" t="s">
        <v>130</v>
      </c>
      <c r="P58" s="28">
        <v>0.02</v>
      </c>
      <c r="Q58" s="1" t="s">
        <v>51</v>
      </c>
    </row>
    <row r="59" spans="11:17" ht="18" customHeight="1" x14ac:dyDescent="0.3">
      <c r="K59" s="2" t="s">
        <v>127</v>
      </c>
      <c r="L59" s="29">
        <f>L57+L58</f>
        <v>1.394055332182025</v>
      </c>
      <c r="M59" s="1" t="s">
        <v>51</v>
      </c>
      <c r="O59" s="2" t="s">
        <v>127</v>
      </c>
      <c r="P59" s="29">
        <f>P57+P58</f>
        <v>2.0000284604989416E-2</v>
      </c>
      <c r="Q59" s="1" t="s">
        <v>51</v>
      </c>
    </row>
    <row r="62" spans="11:17" ht="18" customHeight="1" x14ac:dyDescent="0.3">
      <c r="M62" s="36" t="s">
        <v>151</v>
      </c>
      <c r="N62" s="36"/>
      <c r="O62" s="36"/>
    </row>
    <row r="63" spans="11:17" ht="18" customHeight="1" x14ac:dyDescent="0.3">
      <c r="M63" s="2" t="s">
        <v>133</v>
      </c>
      <c r="N63" s="20">
        <f>(L38*$H$4/1000+P38*($H$2+$H$3)/1000)/($H$2+$H$3+$H$4)*1000</f>
        <v>3.1622776601683699E-8</v>
      </c>
      <c r="O63" s="1" t="s">
        <v>51</v>
      </c>
    </row>
    <row r="64" spans="11:17" ht="18" customHeight="1" x14ac:dyDescent="0.3">
      <c r="M64" s="2" t="s">
        <v>134</v>
      </c>
      <c r="N64" s="20">
        <f>$H$18/N63</f>
        <v>3.1622776601683887E-7</v>
      </c>
      <c r="O64" s="1" t="s">
        <v>51</v>
      </c>
    </row>
    <row r="65" spans="13:15" ht="18" customHeight="1" x14ac:dyDescent="0.3">
      <c r="M65" s="2" t="s">
        <v>135</v>
      </c>
      <c r="N65" s="20">
        <f>(L40*$H$4/1000+P40*($H$2+$H$3)/1000)/($H$2+$H$3+$H$4)*1000</f>
        <v>0</v>
      </c>
      <c r="O65" s="1" t="s">
        <v>51</v>
      </c>
    </row>
    <row r="66" spans="13:15" ht="18" customHeight="1" x14ac:dyDescent="0.3">
      <c r="M66" s="2" t="s">
        <v>136</v>
      </c>
      <c r="N66" s="20">
        <f t="shared" ref="N66:N68" si="2">(L41*$H$4/1000+P41*($H$2+$H$3)/1000)/($H$2+$H$3+$H$4)*1000</f>
        <v>0</v>
      </c>
      <c r="O66" s="1" t="s">
        <v>51</v>
      </c>
    </row>
    <row r="67" spans="13:15" ht="18" customHeight="1" x14ac:dyDescent="0.3">
      <c r="M67" s="2" t="s">
        <v>137</v>
      </c>
      <c r="N67" s="20">
        <f t="shared" si="2"/>
        <v>0</v>
      </c>
      <c r="O67" s="1" t="s">
        <v>51</v>
      </c>
    </row>
    <row r="68" spans="13:15" ht="18" customHeight="1" x14ac:dyDescent="0.3">
      <c r="M68" s="2" t="s">
        <v>138</v>
      </c>
      <c r="N68" s="20">
        <f t="shared" si="2"/>
        <v>0</v>
      </c>
      <c r="O68" s="1" t="s">
        <v>51</v>
      </c>
    </row>
    <row r="69" spans="13:15" ht="18" customHeight="1" x14ac:dyDescent="0.3">
      <c r="M69" s="2" t="s">
        <v>139</v>
      </c>
      <c r="N69" s="20">
        <f>T28*N63/($H$14+N63)</f>
        <v>0</v>
      </c>
      <c r="O69" s="1" t="s">
        <v>51</v>
      </c>
    </row>
    <row r="70" spans="13:15" ht="18" customHeight="1" x14ac:dyDescent="0.3">
      <c r="M70" s="2" t="s">
        <v>140</v>
      </c>
      <c r="N70" s="20">
        <f>T28-N69</f>
        <v>0</v>
      </c>
      <c r="O70" s="1" t="s">
        <v>51</v>
      </c>
    </row>
    <row r="71" spans="13:15" ht="18" customHeight="1" x14ac:dyDescent="0.3">
      <c r="M71" s="2" t="s">
        <v>141</v>
      </c>
      <c r="N71" s="20">
        <f>$H$15*T29/($H$15+N63+N63^2/$H$16+N63^3/($H$16*$H$17))</f>
        <v>0</v>
      </c>
      <c r="O71" s="6" t="s">
        <v>51</v>
      </c>
    </row>
    <row r="72" spans="13:15" ht="18" customHeight="1" x14ac:dyDescent="0.3">
      <c r="M72" s="2" t="s">
        <v>142</v>
      </c>
      <c r="N72" s="20">
        <f>$H$16*T29/($H$15*$H$16/N63+$H$16+N63+(N63^2)/$H$17)</f>
        <v>0</v>
      </c>
      <c r="O72" s="6" t="s">
        <v>51</v>
      </c>
    </row>
    <row r="73" spans="13:15" ht="18" customHeight="1" x14ac:dyDescent="0.3">
      <c r="M73" s="2" t="s">
        <v>143</v>
      </c>
      <c r="N73" s="20">
        <f>T29*$H$17/(N63+$H$17+$H$17*$H$16/N63+$H$17*$H$16*$H$15/(N63^2))</f>
        <v>0</v>
      </c>
      <c r="O73" s="6" t="s">
        <v>51</v>
      </c>
    </row>
    <row r="74" spans="13:15" ht="18" customHeight="1" x14ac:dyDescent="0.3">
      <c r="M74" s="2" t="s">
        <v>144</v>
      </c>
      <c r="N74" s="20">
        <f>T29-N71-N72-N73</f>
        <v>0</v>
      </c>
      <c r="O74" s="6" t="s">
        <v>51</v>
      </c>
    </row>
    <row r="75" spans="13:15" ht="18" customHeight="1" x14ac:dyDescent="0.3">
      <c r="M75" s="2" t="s">
        <v>146</v>
      </c>
      <c r="N75" s="24">
        <f>T27*$H$13/($H$13+N63)</f>
        <v>8.0877153950105855E-3</v>
      </c>
      <c r="O75" s="1" t="s">
        <v>51</v>
      </c>
    </row>
    <row r="76" spans="13:15" ht="18" customHeight="1" x14ac:dyDescent="0.3">
      <c r="M76" s="2" t="s">
        <v>147</v>
      </c>
      <c r="N76" s="24">
        <f>T27-N75</f>
        <v>5.7256640191964171E-4</v>
      </c>
      <c r="O76" s="1" t="s">
        <v>51</v>
      </c>
    </row>
    <row r="77" spans="13:15" ht="18" customHeight="1" x14ac:dyDescent="0.3">
      <c r="M77" s="2" t="s">
        <v>148</v>
      </c>
      <c r="N77" s="23">
        <f>N63-N64-N65-N66-N67-N68+N69-3*N71-2*N72-N73+N78</f>
        <v>7.4898888360961507E-19</v>
      </c>
      <c r="O77" s="1" t="s">
        <v>149</v>
      </c>
    </row>
    <row r="78" spans="13:15" ht="18" customHeight="1" x14ac:dyDescent="0.3">
      <c r="M78" s="2" t="s">
        <v>150</v>
      </c>
      <c r="N78" s="4">
        <v>2.8460498941590417E-7</v>
      </c>
      <c r="O78" s="1" t="s">
        <v>51</v>
      </c>
    </row>
    <row r="79" spans="13:15" ht="18" customHeight="1" x14ac:dyDescent="0.3">
      <c r="M79" s="2" t="s">
        <v>130</v>
      </c>
      <c r="N79" s="28">
        <v>0.02</v>
      </c>
      <c r="O79" s="1" t="s">
        <v>51</v>
      </c>
    </row>
    <row r="80" spans="13:15" ht="18" customHeight="1" x14ac:dyDescent="0.3">
      <c r="M80" s="2" t="s">
        <v>127</v>
      </c>
      <c r="N80" s="29">
        <f>N78+N79</f>
        <v>2.0000284604989416E-2</v>
      </c>
      <c r="O80" s="1" t="s">
        <v>51</v>
      </c>
    </row>
  </sheetData>
  <mergeCells count="9">
    <mergeCell ref="S1:U1"/>
    <mergeCell ref="G8:I8"/>
    <mergeCell ref="K22:M22"/>
    <mergeCell ref="O22:Q22"/>
    <mergeCell ref="M62:O62"/>
    <mergeCell ref="A1:C1"/>
    <mergeCell ref="G1:I1"/>
    <mergeCell ref="K1:M1"/>
    <mergeCell ref="O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6C05-126C-4673-BED6-1525BB48686F}">
  <dimension ref="A1:U80"/>
  <sheetViews>
    <sheetView topLeftCell="A37" zoomScale="85" zoomScaleNormal="85" workbookViewId="0">
      <selection activeCell="L53" sqref="L53"/>
    </sheetView>
  </sheetViews>
  <sheetFormatPr defaultColWidth="8.88671875" defaultRowHeight="18" customHeight="1" x14ac:dyDescent="0.3"/>
  <cols>
    <col min="1" max="21" width="10.6640625" style="6" customWidth="1"/>
    <col min="22" max="16384" width="8.88671875" style="6"/>
  </cols>
  <sheetData>
    <row r="1" spans="1:21" ht="18" customHeight="1" x14ac:dyDescent="0.3">
      <c r="A1" s="37" t="s">
        <v>0</v>
      </c>
      <c r="B1" s="37"/>
      <c r="C1" s="37"/>
      <c r="G1" s="38" t="s">
        <v>1</v>
      </c>
      <c r="H1" s="38"/>
      <c r="I1" s="38"/>
      <c r="K1" s="38" t="s">
        <v>2</v>
      </c>
      <c r="L1" s="38"/>
      <c r="M1" s="38"/>
      <c r="N1" s="7"/>
      <c r="O1" s="38" t="s">
        <v>3</v>
      </c>
      <c r="P1" s="38"/>
      <c r="Q1" s="38"/>
      <c r="S1" s="35" t="s">
        <v>4</v>
      </c>
      <c r="T1" s="35"/>
      <c r="U1" s="35"/>
    </row>
    <row r="2" spans="1:21" ht="18" customHeight="1" x14ac:dyDescent="0.3">
      <c r="A2" s="2" t="s">
        <v>5</v>
      </c>
      <c r="B2" s="9">
        <f>32*6/180</f>
        <v>1.0666666666666667</v>
      </c>
      <c r="C2" s="3" t="s">
        <v>6</v>
      </c>
      <c r="D2" s="7" t="s">
        <v>7</v>
      </c>
      <c r="G2" s="2" t="s">
        <v>8</v>
      </c>
      <c r="H2" s="11">
        <v>45</v>
      </c>
      <c r="I2" s="7" t="s">
        <v>9</v>
      </c>
      <c r="K2" s="2" t="s">
        <v>10</v>
      </c>
      <c r="L2" s="11">
        <v>296.66430982605573</v>
      </c>
      <c r="M2" s="7" t="s">
        <v>11</v>
      </c>
      <c r="N2" s="7"/>
      <c r="O2" s="2" t="s">
        <v>10</v>
      </c>
      <c r="P2" s="11">
        <v>0</v>
      </c>
      <c r="Q2" s="7" t="s">
        <v>11</v>
      </c>
      <c r="S2" s="8" t="s">
        <v>12</v>
      </c>
      <c r="T2" s="7">
        <v>0</v>
      </c>
      <c r="U2" s="18" t="str">
        <f>CONCATENATE("BMP_A.Xsu_restart = (open.X_su*BMP_A.V_inoculum+BMP_A.X_su_feed*BMP_A.V_feed+",T2,"*BMP_A.V_add)/BMP_A.V_liq;")</f>
        <v>BMP_A.Xsu_restart = (open.X_su*BMP_A.V_inoculum+BMP_A.X_su_feed*BMP_A.V_feed+0*BMP_A.V_add)/BMP_A.V_liq;</v>
      </c>
    </row>
    <row r="3" spans="1:21" ht="18" customHeight="1" x14ac:dyDescent="0.3">
      <c r="A3" s="2" t="s">
        <v>13</v>
      </c>
      <c r="B3" s="9">
        <v>1.58</v>
      </c>
      <c r="C3" s="3" t="s">
        <v>14</v>
      </c>
      <c r="D3" s="7" t="s">
        <v>7</v>
      </c>
      <c r="G3" s="2" t="s">
        <v>15</v>
      </c>
      <c r="H3" s="10">
        <v>87</v>
      </c>
      <c r="I3" s="7" t="s">
        <v>9</v>
      </c>
      <c r="K3" s="2" t="s">
        <v>16</v>
      </c>
      <c r="L3" s="11">
        <v>22.074245353646802</v>
      </c>
      <c r="M3" s="7" t="s">
        <v>17</v>
      </c>
      <c r="N3" s="7"/>
      <c r="O3" s="2" t="s">
        <v>16</v>
      </c>
      <c r="P3" s="11">
        <v>0</v>
      </c>
      <c r="Q3" s="7" t="s">
        <v>17</v>
      </c>
      <c r="S3" s="8" t="s">
        <v>18</v>
      </c>
      <c r="T3" s="7">
        <v>0</v>
      </c>
      <c r="U3" s="18" t="str">
        <f>CONCATENATE("BMP_A.Xaa_restart = (open.X_aa*BMP_A.V_inoculum+BMP_A.X_aa_feed*BMP_A.V_feed+",T3,"*BMP_A.V_add)/BMP_A.V_liq;")</f>
        <v>BMP_A.Xaa_restart = (open.X_aa*BMP_A.V_inoculum+BMP_A.X_aa_feed*BMP_A.V_feed+0*BMP_A.V_add)/BMP_A.V_liq;</v>
      </c>
    </row>
    <row r="4" spans="1:21" ht="18" customHeight="1" x14ac:dyDescent="0.3">
      <c r="A4" s="2" t="s">
        <v>19</v>
      </c>
      <c r="B4" s="9">
        <v>1.53</v>
      </c>
      <c r="C4" s="3" t="s">
        <v>20</v>
      </c>
      <c r="D4" s="7" t="s">
        <v>7</v>
      </c>
      <c r="G4" s="5" t="s">
        <v>21</v>
      </c>
      <c r="H4" s="12">
        <v>0</v>
      </c>
      <c r="I4" s="7" t="s">
        <v>9</v>
      </c>
      <c r="K4" s="8" t="s">
        <v>22</v>
      </c>
      <c r="L4" s="14">
        <v>1006.3965106169907</v>
      </c>
      <c r="M4" s="7" t="s">
        <v>23</v>
      </c>
      <c r="N4" s="7"/>
      <c r="O4" s="8" t="s">
        <v>22</v>
      </c>
      <c r="P4" s="14">
        <v>0</v>
      </c>
      <c r="Q4" s="7" t="s">
        <v>23</v>
      </c>
      <c r="S4" s="8" t="s">
        <v>24</v>
      </c>
      <c r="T4" s="7">
        <v>0</v>
      </c>
      <c r="U4" s="18" t="str">
        <f>CONCATENATE("BMP_A.Xfa_restart = (open.X_fa*BMP_A.V_inoculum+BMP_A.X_fa_feed*BMP_A.V_feed+",T4,"*BMP_A.V_add)/BMP_A.V_liq;")</f>
        <v>BMP_A.Xfa_restart = (open.X_fa*BMP_A.V_inoculum+BMP_A.X_fa_feed*BMP_A.V_feed+0*BMP_A.V_add)/BMP_A.V_liq;</v>
      </c>
    </row>
    <row r="5" spans="1:21" ht="18" customHeight="1" x14ac:dyDescent="0.3">
      <c r="A5" s="5" t="s">
        <v>25</v>
      </c>
      <c r="B5" s="9">
        <f>1/0.16</f>
        <v>6.25</v>
      </c>
      <c r="C5" s="3" t="s">
        <v>26</v>
      </c>
      <c r="D5" s="7" t="s">
        <v>7</v>
      </c>
      <c r="G5" s="5" t="s">
        <v>27</v>
      </c>
      <c r="H5" s="12">
        <f>SUM(H2:H4)</f>
        <v>132</v>
      </c>
      <c r="I5" s="7" t="s">
        <v>9</v>
      </c>
      <c r="K5" s="8" t="s">
        <v>28</v>
      </c>
      <c r="L5" s="15">
        <v>174.99</v>
      </c>
      <c r="M5" s="7" t="s">
        <v>29</v>
      </c>
      <c r="N5" s="7"/>
      <c r="O5" s="8" t="s">
        <v>28</v>
      </c>
      <c r="P5" s="15">
        <v>0</v>
      </c>
      <c r="Q5" s="7" t="s">
        <v>29</v>
      </c>
      <c r="S5" s="8" t="s">
        <v>30</v>
      </c>
      <c r="T5" s="7">
        <v>0</v>
      </c>
      <c r="U5" s="18" t="str">
        <f>CONCATENATE("BMP_A.Xc4_restart = (open.X_c4*BMP_A.V_inoculum+BMP_A.X_c4_feed*BMP_A.V_feed+",T5,"*BMP_A.V_add)/BMP_A.V_liq;")</f>
        <v>BMP_A.Xc4_restart = (open.X_c4*BMP_A.V_inoculum+BMP_A.X_c4_feed*BMP_A.V_feed+0*BMP_A.V_add)/BMP_A.V_liq;</v>
      </c>
    </row>
    <row r="6" spans="1:21" ht="18" customHeight="1" x14ac:dyDescent="0.3">
      <c r="A6" s="2" t="s">
        <v>31</v>
      </c>
      <c r="B6" s="9">
        <v>2.83</v>
      </c>
      <c r="C6" s="3" t="s">
        <v>32</v>
      </c>
      <c r="D6" s="7" t="s">
        <v>7</v>
      </c>
      <c r="K6" s="8" t="s">
        <v>33</v>
      </c>
      <c r="L6" s="16">
        <v>63.36</v>
      </c>
      <c r="M6" s="7" t="s">
        <v>34</v>
      </c>
      <c r="N6" s="7"/>
      <c r="O6" s="8" t="s">
        <v>33</v>
      </c>
      <c r="P6" s="16">
        <v>0</v>
      </c>
      <c r="Q6" s="7" t="s">
        <v>34</v>
      </c>
      <c r="S6" s="8" t="s">
        <v>35</v>
      </c>
      <c r="T6" s="7">
        <v>0</v>
      </c>
      <c r="U6" s="18" t="str">
        <f>CONCATENATE("BMP_A.Xpro_restart = (open.X_pro*BMP_A.V_inoculum+BMP_A.X_pro_feed*BMP_A.V_feed+",T6,"*BMP_A.V_add)/BMP_A.V_liq;")</f>
        <v>BMP_A.Xpro_restart = (open.X_pro*BMP_A.V_inoculum+BMP_A.X_pro_feed*BMP_A.V_feed+0*BMP_A.V_add)/BMP_A.V_liq;</v>
      </c>
    </row>
    <row r="7" spans="1:21" ht="18" customHeight="1" x14ac:dyDescent="0.3">
      <c r="A7" s="8" t="s">
        <v>36</v>
      </c>
      <c r="B7" s="9">
        <f>273.15+25</f>
        <v>298.14999999999998</v>
      </c>
      <c r="C7" s="7" t="s">
        <v>37</v>
      </c>
      <c r="D7" s="7" t="s">
        <v>38</v>
      </c>
      <c r="K7" s="8" t="s">
        <v>39</v>
      </c>
      <c r="L7" s="15">
        <v>177.95</v>
      </c>
      <c r="M7" s="7" t="s">
        <v>40</v>
      </c>
      <c r="N7" s="7"/>
      <c r="O7" s="8" t="s">
        <v>39</v>
      </c>
      <c r="P7" s="15">
        <v>0</v>
      </c>
      <c r="Q7" s="7" t="s">
        <v>40</v>
      </c>
      <c r="S7" s="8" t="s">
        <v>41</v>
      </c>
      <c r="T7" s="7">
        <v>0</v>
      </c>
      <c r="U7" s="18" t="str">
        <f>CONCATENATE("BMP_A.Xac_restart = (open.X_ac*BMP_A.V_inoculum+BMP_A.X_ac_feed*BMP_A.V_feed+",T7,"*BMP_A.V_add)/BMP_A.V_liq;")</f>
        <v>BMP_A.Xac_restart = (open.X_ac*BMP_A.V_inoculum+BMP_A.X_ac_feed*BMP_A.V_feed+0*BMP_A.V_add)/BMP_A.V_liq;</v>
      </c>
    </row>
    <row r="8" spans="1:21" ht="18" customHeight="1" x14ac:dyDescent="0.3">
      <c r="A8" s="8" t="s">
        <v>42</v>
      </c>
      <c r="B8" s="9">
        <v>0.08</v>
      </c>
      <c r="C8" s="7" t="s">
        <v>43</v>
      </c>
      <c r="D8" s="7"/>
      <c r="G8" s="36" t="s">
        <v>44</v>
      </c>
      <c r="H8" s="36"/>
      <c r="I8" s="36"/>
      <c r="K8" s="8" t="s">
        <v>45</v>
      </c>
      <c r="L8" s="16">
        <v>0.75123364848484853</v>
      </c>
      <c r="M8" s="7" t="s">
        <v>46</v>
      </c>
      <c r="N8" s="7"/>
      <c r="O8" s="8" t="s">
        <v>45</v>
      </c>
      <c r="P8" s="16">
        <v>0</v>
      </c>
      <c r="Q8" s="7" t="s">
        <v>46</v>
      </c>
      <c r="S8" s="8" t="s">
        <v>47</v>
      </c>
      <c r="T8" s="7">
        <v>0</v>
      </c>
      <c r="U8" s="18" t="str">
        <f>CONCATENATE("BMP_A.Xh2_restart = (open.X_h2*BMP_A.V_inoculum+BMP_A.X_h2_feed*BMP_A.V_feed+",T8,"*BMP_A.V_add)/BMP_A.V_liq;")</f>
        <v>BMP_A.Xh2_restart = (open.X_h2*BMP_A.V_inoculum+BMP_A.X_h2_feed*BMP_A.V_feed+0*BMP_A.V_add)/BMP_A.V_liq;</v>
      </c>
    </row>
    <row r="9" spans="1:21" ht="18" customHeight="1" x14ac:dyDescent="0.3">
      <c r="A9" s="8" t="s">
        <v>48</v>
      </c>
      <c r="B9" s="17">
        <v>60</v>
      </c>
      <c r="C9" s="7" t="s">
        <v>49</v>
      </c>
      <c r="G9" s="8" t="s">
        <v>50</v>
      </c>
      <c r="H9" s="19">
        <f t="shared" ref="H9:H18" si="0">10^-B17</f>
        <v>1.7378008287493744E-5</v>
      </c>
      <c r="I9" s="7" t="s">
        <v>51</v>
      </c>
      <c r="K9" s="8" t="s">
        <v>52</v>
      </c>
      <c r="L9" s="16">
        <v>0.32682810810810808</v>
      </c>
      <c r="M9" s="7" t="s">
        <v>46</v>
      </c>
      <c r="N9" s="7"/>
      <c r="O9" s="8" t="s">
        <v>52</v>
      </c>
      <c r="P9" s="16">
        <v>0</v>
      </c>
      <c r="Q9" s="7" t="s">
        <v>46</v>
      </c>
      <c r="S9" s="8" t="s">
        <v>53</v>
      </c>
      <c r="T9" s="7">
        <v>0</v>
      </c>
      <c r="U9" s="18" t="str">
        <f>CONCATENATE("BMP_A.Xc_restart = (open.X_c*BMP_A.V_inoculum+BMP_A.X_c_feed*BMP_A.V_feed+",T9,"*BMP_A.V_add)/BMP_A.V_liq;")</f>
        <v>BMP_A.Xc_restart = (open.X_c*BMP_A.V_inoculum+BMP_A.X_c_feed*BMP_A.V_feed+0*BMP_A.V_add)/BMP_A.V_liq;</v>
      </c>
    </row>
    <row r="10" spans="1:21" ht="18" customHeight="1" x14ac:dyDescent="0.3">
      <c r="A10" s="8" t="s">
        <v>54</v>
      </c>
      <c r="B10" s="17">
        <v>74</v>
      </c>
      <c r="C10" s="7" t="s">
        <v>49</v>
      </c>
      <c r="G10" s="8" t="s">
        <v>55</v>
      </c>
      <c r="H10" s="19">
        <f t="shared" si="0"/>
        <v>1.3182567385564052E-5</v>
      </c>
      <c r="I10" s="7" t="s">
        <v>51</v>
      </c>
      <c r="K10" s="8" t="s">
        <v>56</v>
      </c>
      <c r="L10" s="16">
        <v>0.16090694214876031</v>
      </c>
      <c r="M10" s="7" t="s">
        <v>46</v>
      </c>
      <c r="N10" s="7"/>
      <c r="O10" s="8" t="s">
        <v>56</v>
      </c>
      <c r="P10" s="16">
        <v>0</v>
      </c>
      <c r="Q10" s="7" t="s">
        <v>46</v>
      </c>
      <c r="S10" s="8" t="s">
        <v>57</v>
      </c>
      <c r="T10" s="25">
        <f>(L28*$H$4/1000+P28*($H$2+$H$3)/1000)/($H$2+$H$3+$H$4)*1000</f>
        <v>0</v>
      </c>
      <c r="U10" s="18" t="str">
        <f>CONCATENATE("BMP_A.Xi_restart = (open.X_i*BMP_A.V_inoculum+BMP_A.X_i_feed*BMP_A.V_feed+",L27,"*BMP_A.V_add)/BMP_A.V_liq;")</f>
        <v>BMP_A.Xi_restart = (open.X_i*BMP_A.V_inoculum+BMP_A.X_i_feed*BMP_A.V_feed+0.679990625787034*BMP_A.V_add)/BMP_A.V_liq;</v>
      </c>
    </row>
    <row r="11" spans="1:21" ht="18" customHeight="1" x14ac:dyDescent="0.3">
      <c r="A11" s="8" t="s">
        <v>58</v>
      </c>
      <c r="B11" s="17">
        <v>88</v>
      </c>
      <c r="C11" s="7" t="s">
        <v>49</v>
      </c>
      <c r="G11" s="8" t="s">
        <v>59</v>
      </c>
      <c r="H11" s="19">
        <f t="shared" si="0"/>
        <v>1.5135612484362051E-5</v>
      </c>
      <c r="I11" s="7" t="s">
        <v>51</v>
      </c>
      <c r="K11" s="8" t="s">
        <v>60</v>
      </c>
      <c r="L11" s="16">
        <v>6.6481768270944749E-2</v>
      </c>
      <c r="M11" s="7" t="s">
        <v>46</v>
      </c>
      <c r="N11" s="7"/>
      <c r="O11" s="8" t="s">
        <v>60</v>
      </c>
      <c r="P11" s="16">
        <v>0</v>
      </c>
      <c r="Q11" s="7" t="s">
        <v>46</v>
      </c>
      <c r="S11" s="8" t="s">
        <v>61</v>
      </c>
      <c r="T11" s="25">
        <f>(L29*$H$4/1000+P29*($H$2+$H$3)/1000)/($H$2+$H$3+$H$4)*1000</f>
        <v>0</v>
      </c>
      <c r="U11" s="18" t="str">
        <f>CONCATENATE("BMP_A.Xch1_restart = (open.X_ch[1]*BMP_A.V_inoculum+BMP_A.X_ch1_feed*BMP_A.V_feed+",T11,"*BMP_A.V_add)/BMP_A.V_liq;")</f>
        <v>BMP_A.Xch1_restart = (open.X_ch[1]*BMP_A.V_inoculum+BMP_A.X_ch1_feed*BMP_A.V_feed+0*BMP_A.V_add)/BMP_A.V_liq;</v>
      </c>
    </row>
    <row r="12" spans="1:21" ht="18" customHeight="1" x14ac:dyDescent="0.3">
      <c r="A12" s="8" t="s">
        <v>62</v>
      </c>
      <c r="B12" s="17">
        <v>102</v>
      </c>
      <c r="C12" s="7" t="s">
        <v>49</v>
      </c>
      <c r="G12" s="8" t="s">
        <v>63</v>
      </c>
      <c r="H12" s="19">
        <f t="shared" si="0"/>
        <v>1.3803842646028827E-5</v>
      </c>
      <c r="I12" s="7" t="s">
        <v>51</v>
      </c>
      <c r="K12" s="8" t="s">
        <v>64</v>
      </c>
      <c r="L12" s="15">
        <v>72</v>
      </c>
      <c r="M12" s="7" t="s">
        <v>65</v>
      </c>
      <c r="N12" s="7"/>
      <c r="O12" s="8" t="s">
        <v>64</v>
      </c>
      <c r="P12" s="15">
        <v>0</v>
      </c>
      <c r="Q12" s="7" t="s">
        <v>65</v>
      </c>
      <c r="S12" s="8" t="s">
        <v>66</v>
      </c>
      <c r="T12" s="25">
        <f t="shared" ref="T12:T15" si="1">(L30*$H$4/1000+P30*($H$2+$H$3)/1000)/($H$2+$H$3+$H$4)*1000</f>
        <v>0</v>
      </c>
      <c r="U12" s="18" t="str">
        <f>CONCATENATE("BMP_A.Xch2_restart = (open.X_ch[2]*BMP_A.V_inoculum+BMP_A.X_ch2_feed*BMP_A.V_feed+",T12,"*BMP_A.V_add)/BMP_A.V_liq;")</f>
        <v>BMP_A.Xch2_restart = (open.X_ch[2]*BMP_A.V_inoculum+BMP_A.X_ch2_feed*BMP_A.V_feed+0*BMP_A.V_add)/BMP_A.V_liq;</v>
      </c>
    </row>
    <row r="13" spans="1:21" ht="18" customHeight="1" x14ac:dyDescent="0.3">
      <c r="A13" s="8" t="s">
        <v>67</v>
      </c>
      <c r="B13" s="17">
        <v>100</v>
      </c>
      <c r="C13" s="7" t="s">
        <v>49</v>
      </c>
      <c r="G13" s="8" t="s">
        <v>68</v>
      </c>
      <c r="H13" s="19">
        <f t="shared" si="0"/>
        <v>4.4668359215096327E-7</v>
      </c>
      <c r="I13" s="7" t="s">
        <v>51</v>
      </c>
      <c r="K13" s="8" t="s">
        <v>69</v>
      </c>
      <c r="L13" s="15">
        <v>31.5</v>
      </c>
      <c r="M13" s="7" t="s">
        <v>70</v>
      </c>
      <c r="N13" s="7"/>
      <c r="O13" s="8" t="s">
        <v>69</v>
      </c>
      <c r="P13" s="15">
        <v>0</v>
      </c>
      <c r="Q13" s="7" t="s">
        <v>70</v>
      </c>
      <c r="S13" s="8" t="s">
        <v>71</v>
      </c>
      <c r="T13" s="25">
        <f t="shared" si="1"/>
        <v>0</v>
      </c>
      <c r="U13" s="18" t="str">
        <f>CONCATENATE("BMP_A.Xpr1_restart = (open.X_pr[1]*BMP_A.V_inoculum+BMP_A.X_pr1_feed*BMP_A.V_feed+",T13,"*BMP_A.V_add)/BMP_A.V_liq;")</f>
        <v>BMP_A.Xpr1_restart = (open.X_pr[1]*BMP_A.V_inoculum+BMP_A.X_pr1_feed*BMP_A.V_feed+0*BMP_A.V_add)/BMP_A.V_liq;</v>
      </c>
    </row>
    <row r="14" spans="1:21" ht="18" customHeight="1" x14ac:dyDescent="0.3">
      <c r="A14" s="8" t="s">
        <v>72</v>
      </c>
      <c r="B14" s="17">
        <v>60</v>
      </c>
      <c r="C14" s="7" t="s">
        <v>49</v>
      </c>
      <c r="G14" s="8" t="s">
        <v>73</v>
      </c>
      <c r="H14" s="19">
        <f t="shared" si="0"/>
        <v>5.6234132519034889E-10</v>
      </c>
      <c r="I14" s="7" t="s">
        <v>51</v>
      </c>
      <c r="K14" s="8" t="s">
        <v>74</v>
      </c>
      <c r="L14" s="15">
        <v>5.6</v>
      </c>
      <c r="M14" s="7" t="s">
        <v>43</v>
      </c>
      <c r="N14" s="7"/>
      <c r="O14" s="8" t="s">
        <v>74</v>
      </c>
      <c r="P14" s="15">
        <v>7.5</v>
      </c>
      <c r="Q14" s="7" t="s">
        <v>43</v>
      </c>
      <c r="S14" s="8" t="s">
        <v>75</v>
      </c>
      <c r="T14" s="25">
        <f t="shared" si="1"/>
        <v>0</v>
      </c>
      <c r="U14" s="18" t="str">
        <f>CONCATENATE("BMP_A.Xpr2_restart = (open.X_pr[2]*BMP_A.V_inoculum+BMP_A.X_pr2_feed*BMP_A.V_feed+",T14,"*BMP_A.V_add)/BMP_A.V_liq;")</f>
        <v>BMP_A.Xpr2_restart = (open.X_pr[2]*BMP_A.V_inoculum+BMP_A.X_pr2_feed*BMP_A.V_feed+0*BMP_A.V_add)/BMP_A.V_liq;</v>
      </c>
    </row>
    <row r="15" spans="1:21" ht="18" customHeight="1" x14ac:dyDescent="0.3">
      <c r="A15" s="8" t="s">
        <v>76</v>
      </c>
      <c r="B15" s="17">
        <v>14</v>
      </c>
      <c r="C15" s="7" t="s">
        <v>49</v>
      </c>
      <c r="G15" s="8" t="s">
        <v>77</v>
      </c>
      <c r="H15" s="19">
        <f t="shared" si="0"/>
        <v>2.1379620895022253E-13</v>
      </c>
      <c r="I15" s="7" t="s">
        <v>51</v>
      </c>
      <c r="K15" s="8" t="s">
        <v>78</v>
      </c>
      <c r="L15" s="15">
        <v>2624</v>
      </c>
      <c r="M15" s="7" t="s">
        <v>79</v>
      </c>
      <c r="N15" s="7"/>
      <c r="O15" s="8" t="s">
        <v>78</v>
      </c>
      <c r="P15" s="15">
        <v>404.4</v>
      </c>
      <c r="Q15" s="7" t="s">
        <v>79</v>
      </c>
      <c r="S15" s="8" t="s">
        <v>80</v>
      </c>
      <c r="T15" s="25">
        <f t="shared" si="1"/>
        <v>0</v>
      </c>
      <c r="U15" s="18" t="str">
        <f>CONCATENATE("BMP_A.Xli_restart = (open.X_li*BMP_A.V_inoculum+BMP_A.X_li_feed*BMP_A.V_feed+",T15,"*BMP_A.V_add)/BMP_A.V_liq;")</f>
        <v>BMP_A.Xli_restart = (open.X_li*BMP_A.V_inoculum+BMP_A.X_li_feed*BMP_A.V_feed+0*BMP_A.V_add)/BMP_A.V_liq;</v>
      </c>
    </row>
    <row r="16" spans="1:21" ht="18" customHeight="1" x14ac:dyDescent="0.3">
      <c r="A16" s="8" t="s">
        <v>81</v>
      </c>
      <c r="B16" s="17">
        <v>31</v>
      </c>
      <c r="C16" s="7" t="s">
        <v>49</v>
      </c>
      <c r="G16" s="8" t="s">
        <v>82</v>
      </c>
      <c r="H16" s="19">
        <f t="shared" si="0"/>
        <v>6.1659500186148087E-8</v>
      </c>
      <c r="I16" s="7" t="s">
        <v>51</v>
      </c>
      <c r="K16" s="8" t="s">
        <v>83</v>
      </c>
      <c r="L16" s="15">
        <v>0.1</v>
      </c>
      <c r="M16" s="7" t="s">
        <v>43</v>
      </c>
      <c r="N16" s="7"/>
      <c r="O16" s="8" t="s">
        <v>83</v>
      </c>
      <c r="P16" s="15">
        <v>0</v>
      </c>
      <c r="Q16" s="7" t="s">
        <v>43</v>
      </c>
      <c r="S16" s="8" t="s">
        <v>84</v>
      </c>
      <c r="T16" s="7">
        <v>0</v>
      </c>
      <c r="U16" s="18" t="str">
        <f>CONCATENATE("BMP_A.Xp_restart = (open.X_p*BMP_A.V_inoculum+BMP_A.X_p_feed*BMP_A.V_feed+",T16,"*BMP_A.V_add)/BMP_A.V_liq;")</f>
        <v>BMP_A.Xp_restart = (open.X_p*BMP_A.V_inoculum+BMP_A.X_p_feed*BMP_A.V_feed+0*BMP_A.V_add)/BMP_A.V_liq;</v>
      </c>
    </row>
    <row r="17" spans="1:21" ht="18" customHeight="1" x14ac:dyDescent="0.3">
      <c r="A17" s="8" t="s">
        <v>85</v>
      </c>
      <c r="B17" s="17">
        <v>4.76</v>
      </c>
      <c r="C17" s="7" t="s">
        <v>43</v>
      </c>
      <c r="G17" s="8" t="s">
        <v>86</v>
      </c>
      <c r="H17" s="19">
        <f t="shared" si="0"/>
        <v>7.5857757502918299E-3</v>
      </c>
      <c r="I17" s="7" t="s">
        <v>51</v>
      </c>
      <c r="K17" s="8" t="s">
        <v>87</v>
      </c>
      <c r="L17" s="15">
        <v>0.8</v>
      </c>
      <c r="M17" s="7" t="s">
        <v>43</v>
      </c>
      <c r="N17" s="7"/>
      <c r="O17" s="8" t="s">
        <v>87</v>
      </c>
      <c r="P17" s="15">
        <v>0</v>
      </c>
      <c r="Q17" s="7" t="s">
        <v>43</v>
      </c>
      <c r="S17" s="8" t="s">
        <v>88</v>
      </c>
      <c r="T17" s="7">
        <v>0</v>
      </c>
      <c r="U17" s="18" t="str">
        <f>CONCATENATE("BMP_A.Si_restart = (open.S_i*BMP_A.V_inoculum+BMP_A.S_i_feed*BMP_A.V_feed+",T17,"*BMP_A.V_add)/BMP_A.V_liq;")</f>
        <v>BMP_A.Si_restart = (open.S_i*BMP_A.V_inoculum+BMP_A.S_i_feed*BMP_A.V_feed+0*BMP_A.V_add)/BMP_A.V_liq;</v>
      </c>
    </row>
    <row r="18" spans="1:21" ht="18" customHeight="1" x14ac:dyDescent="0.3">
      <c r="A18" s="8" t="s">
        <v>89</v>
      </c>
      <c r="B18" s="17">
        <v>4.88</v>
      </c>
      <c r="C18" s="7" t="s">
        <v>43</v>
      </c>
      <c r="G18" s="8" t="s">
        <v>90</v>
      </c>
      <c r="H18" s="19">
        <f t="shared" si="0"/>
        <v>1E-14</v>
      </c>
      <c r="I18" s="7" t="s">
        <v>91</v>
      </c>
      <c r="K18" s="8" t="s">
        <v>92</v>
      </c>
      <c r="L18" s="15">
        <v>9.999999999999995E-2</v>
      </c>
      <c r="M18" s="7" t="s">
        <v>43</v>
      </c>
      <c r="N18" s="7"/>
      <c r="O18" s="8" t="s">
        <v>92</v>
      </c>
      <c r="P18" s="15">
        <v>0</v>
      </c>
      <c r="Q18" s="7" t="s">
        <v>43</v>
      </c>
      <c r="S18" s="8" t="s">
        <v>93</v>
      </c>
      <c r="T18" s="7">
        <v>0</v>
      </c>
      <c r="U18" s="18" t="str">
        <f>CONCATENATE("BMP_A.Ssu_restart = (open.S_su*BMP_A.V_inoculum+BMP_A.S_su_feed*BMP_A.V_feed+",T18,"*BMP_A.V_add)/BMP_A.V_liq;")</f>
        <v>BMP_A.Ssu_restart = (open.S_su*BMP_A.V_inoculum+BMP_A.S_su_feed*BMP_A.V_feed+0*BMP_A.V_add)/BMP_A.V_liq;</v>
      </c>
    </row>
    <row r="19" spans="1:21" ht="18" customHeight="1" x14ac:dyDescent="0.3">
      <c r="A19" s="8" t="s">
        <v>94</v>
      </c>
      <c r="B19" s="17">
        <v>4.82</v>
      </c>
      <c r="C19" s="7" t="s">
        <v>43</v>
      </c>
      <c r="K19" s="8" t="s">
        <v>95</v>
      </c>
      <c r="L19" s="15">
        <v>0.1</v>
      </c>
      <c r="M19" s="7" t="s">
        <v>43</v>
      </c>
      <c r="N19" s="7"/>
      <c r="O19" s="8" t="s">
        <v>95</v>
      </c>
      <c r="P19" s="15">
        <v>0</v>
      </c>
      <c r="Q19" s="7" t="s">
        <v>43</v>
      </c>
      <c r="S19" s="8" t="s">
        <v>152</v>
      </c>
      <c r="T19" s="7">
        <v>0</v>
      </c>
      <c r="U19" s="18" t="str">
        <f>CONCATENATE("BMP_A.Saa_restart = (open.S_aa*BMP_A.V_inoculum+BMP_A.S_aa_feed*BMP_A.V_feed+",T19,"*BMP_A.V_add)/BMP_A.V_liq;")</f>
        <v>BMP_A.Saa_restart = (open.S_aa*BMP_A.V_inoculum+BMP_A.S_aa_feed*BMP_A.V_feed+0*BMP_A.V_add)/BMP_A.V_liq;</v>
      </c>
    </row>
    <row r="20" spans="1:21" ht="18" customHeight="1" x14ac:dyDescent="0.3">
      <c r="A20" s="8" t="s">
        <v>96</v>
      </c>
      <c r="B20" s="17">
        <v>4.8600000000000003</v>
      </c>
      <c r="C20" s="7" t="s">
        <v>43</v>
      </c>
      <c r="K20" s="8" t="s">
        <v>97</v>
      </c>
      <c r="L20" s="15">
        <v>0.1</v>
      </c>
      <c r="M20" s="7" t="s">
        <v>43</v>
      </c>
      <c r="N20" s="7"/>
      <c r="O20" s="8" t="s">
        <v>97</v>
      </c>
      <c r="P20" s="15">
        <v>0</v>
      </c>
      <c r="Q20" s="7" t="s">
        <v>43</v>
      </c>
      <c r="S20" s="8" t="s">
        <v>98</v>
      </c>
      <c r="T20" s="7">
        <v>0</v>
      </c>
      <c r="U20" s="18" t="str">
        <f>CONCATENATE("BMP_A.Sfa_restart = (open.S_fa*BMP_A.V_inoculum+BMP_A.S_fa_feed*BMP_A.V_feed+",T20,"*BMP_A.V_add)/BMP_A.V_liq;")</f>
        <v>BMP_A.Sfa_restart = (open.S_fa*BMP_A.V_inoculum+BMP_A.S_fa_feed*BMP_A.V_feed+0*BMP_A.V_add)/BMP_A.V_liq;</v>
      </c>
    </row>
    <row r="21" spans="1:21" ht="18" customHeight="1" x14ac:dyDescent="0.3">
      <c r="A21" s="8" t="s">
        <v>99</v>
      </c>
      <c r="B21" s="17">
        <v>6.35</v>
      </c>
      <c r="C21" s="7" t="s">
        <v>43</v>
      </c>
      <c r="K21" s="7"/>
      <c r="L21" s="7"/>
      <c r="M21" s="7"/>
      <c r="N21" s="7"/>
      <c r="O21" s="7"/>
      <c r="P21" s="7"/>
      <c r="S21" s="8" t="s">
        <v>100</v>
      </c>
      <c r="T21" s="25">
        <f>(L11*$H$4/1000+P11*($H$2+$H$3)/1000)/($H$2+$H$3+$H$4)*1000</f>
        <v>0</v>
      </c>
      <c r="U21" s="18" t="str">
        <f>CONCATENATE("BMP_A.Sva_restart = (open.S_va*BMP_A.V_inoculum+BMP_A.S_va_feed*BMP_A.V_feed+",T21,"*BMP_A.V_add)/BMP_A.V_liq;")</f>
        <v>BMP_A.Sva_restart = (open.S_va*BMP_A.V_inoculum+BMP_A.S_va_feed*BMP_A.V_feed+0*BMP_A.V_add)/BMP_A.V_liq;</v>
      </c>
    </row>
    <row r="22" spans="1:21" ht="18" customHeight="1" x14ac:dyDescent="0.3">
      <c r="A22" s="8" t="s">
        <v>101</v>
      </c>
      <c r="B22" s="17">
        <v>9.25</v>
      </c>
      <c r="C22" s="7" t="s">
        <v>43</v>
      </c>
      <c r="K22" s="36" t="s">
        <v>102</v>
      </c>
      <c r="L22" s="36"/>
      <c r="M22" s="36"/>
      <c r="N22" s="7"/>
      <c r="O22" s="36" t="s">
        <v>103</v>
      </c>
      <c r="P22" s="36"/>
      <c r="Q22" s="36"/>
      <c r="S22" s="8" t="s">
        <v>104</v>
      </c>
      <c r="T22" s="25">
        <f>(L10*$H$4/1000+P10*($H$2+$H$3)/1000)/($H$2+$H$3+$H$4)*1000</f>
        <v>0</v>
      </c>
      <c r="U22" s="18" t="str">
        <f>CONCATENATE("BMP_A.Sbu_restart = (open.S_bu*BMP_A.V_inoculum+BMP_A.S_bu_feed*BMP_A.V_feed+",T22,"*BMP_A.V_add)/BMP_A.V_liq;")</f>
        <v>BMP_A.Sbu_restart = (open.S_bu*BMP_A.V_inoculum+BMP_A.S_bu_feed*BMP_A.V_feed+0*BMP_A.V_add)/BMP_A.V_liq;</v>
      </c>
    </row>
    <row r="23" spans="1:21" ht="18" customHeight="1" x14ac:dyDescent="0.3">
      <c r="A23" s="8" t="s">
        <v>105</v>
      </c>
      <c r="B23" s="17">
        <v>12.67</v>
      </c>
      <c r="C23" s="7" t="s">
        <v>43</v>
      </c>
      <c r="E23" s="7"/>
      <c r="F23" s="7"/>
      <c r="G23" s="7"/>
      <c r="H23" s="7"/>
      <c r="I23" s="7"/>
      <c r="K23" s="8" t="s">
        <v>106</v>
      </c>
      <c r="L23" s="13">
        <f>$L$5*$L$3*$L$4/1000/1000*$B$2</f>
        <v>4.1466458216398632</v>
      </c>
      <c r="M23" s="7" t="s">
        <v>107</v>
      </c>
      <c r="N23" s="7"/>
      <c r="O23" s="8" t="s">
        <v>106</v>
      </c>
      <c r="P23" s="13">
        <f>$P$5*$P$3*$P$4/1000/1000*$B$2</f>
        <v>0</v>
      </c>
      <c r="Q23" s="7" t="s">
        <v>107</v>
      </c>
      <c r="S23" s="8" t="s">
        <v>108</v>
      </c>
      <c r="T23" s="25">
        <f>(L9*$H$4/1000+P9*($H$2+$H$3)/1000)/($H$2+$H$3+$H$4)*1000</f>
        <v>0</v>
      </c>
      <c r="U23" s="18" t="str">
        <f>CONCATENATE("BMP_A.Spro_restart = (open.S_pro*BMP_A.V_inoculum+BMP_A.S_pro_feed*BMP_A.V_feed+",T23,"*BMP_A.V_add)/BMP_A.V_liq;")</f>
        <v>BMP_A.Spro_restart = (open.S_pro*BMP_A.V_inoculum+BMP_A.S_pro_feed*BMP_A.V_feed+0*BMP_A.V_add)/BMP_A.V_liq;</v>
      </c>
    </row>
    <row r="24" spans="1:21" ht="18" customHeight="1" x14ac:dyDescent="0.3">
      <c r="A24" s="8" t="s">
        <v>109</v>
      </c>
      <c r="B24" s="17">
        <v>7.21</v>
      </c>
      <c r="C24" s="7" t="s">
        <v>43</v>
      </c>
      <c r="E24" s="7"/>
      <c r="F24" s="7"/>
      <c r="G24" s="7"/>
      <c r="H24" s="7"/>
      <c r="I24" s="7"/>
      <c r="K24" s="8" t="s">
        <v>110</v>
      </c>
      <c r="L24" s="13">
        <f>$L$6*L3*$L$4/1000/1000*B4*B5</f>
        <v>13.459892906818752</v>
      </c>
      <c r="M24" s="7" t="s">
        <v>107</v>
      </c>
      <c r="N24" s="7"/>
      <c r="O24" s="8" t="s">
        <v>110</v>
      </c>
      <c r="P24" s="13">
        <f>$P$6*P3*$P$4/1000/1000*B4*B5</f>
        <v>0</v>
      </c>
      <c r="Q24" s="7" t="s">
        <v>107</v>
      </c>
      <c r="S24" s="8" t="s">
        <v>111</v>
      </c>
      <c r="T24" s="25">
        <f>(L8*$H$4/1000+P8*($H$2+$H$3)/1000)/($H$2+$H$3+$H$4)*1000</f>
        <v>0</v>
      </c>
      <c r="U24" s="18" t="str">
        <f>CONCATENATE("BMP_A.Sac_restart = (open.S_ac*BMP_A.V_inoculum+BMP_A.S_ac_feed*BMP_A.V_feed+",T24,"*BMP_A.V_add)/BMP_A.V_liq;")</f>
        <v>BMP_A.Sac_restart = (open.S_ac*BMP_A.V_inoculum+BMP_A.S_ac_feed*BMP_A.V_feed+0*BMP_A.V_add)/BMP_A.V_liq;</v>
      </c>
    </row>
    <row r="25" spans="1:21" ht="18" customHeight="1" x14ac:dyDescent="0.3">
      <c r="A25" s="8" t="s">
        <v>112</v>
      </c>
      <c r="B25" s="17">
        <v>2.12</v>
      </c>
      <c r="C25" s="7" t="s">
        <v>43</v>
      </c>
      <c r="E25" s="7"/>
      <c r="F25" s="7"/>
      <c r="G25" s="7"/>
      <c r="H25" s="7"/>
      <c r="I25" s="7"/>
      <c r="K25" s="8" t="s">
        <v>113</v>
      </c>
      <c r="L25" s="13">
        <f>$L$7*L3*$L$4/1000/1000*B6</f>
        <v>11.18766402263577</v>
      </c>
      <c r="M25" s="7" t="s">
        <v>107</v>
      </c>
      <c r="N25" s="7"/>
      <c r="O25" s="8" t="s">
        <v>113</v>
      </c>
      <c r="P25" s="13">
        <f>$P$7*P3*$P$4/1000/1000*B6</f>
        <v>0</v>
      </c>
      <c r="Q25" s="7" t="s">
        <v>107</v>
      </c>
      <c r="S25" s="8" t="s">
        <v>114</v>
      </c>
      <c r="T25" s="7">
        <v>0</v>
      </c>
      <c r="U25" s="18" t="str">
        <f>CONCATENATE("BMP_A.Sh2_restart = (open.S_h2*BMP_A.V_inoculum+BMP_A.S_h2_feed*BMP_A.V_feed+",T25,"*BMP_A.V_add)/BMP_A.V_liq;")</f>
        <v>BMP_A.Sh2_restart = (open.S_h2*BMP_A.V_inoculum+BMP_A.S_h2_feed*BMP_A.V_feed+0*BMP_A.V_add)/BMP_A.V_liq;</v>
      </c>
    </row>
    <row r="26" spans="1:21" ht="18" customHeight="1" x14ac:dyDescent="0.3">
      <c r="A26" s="8" t="s">
        <v>115</v>
      </c>
      <c r="B26" s="17">
        <v>14</v>
      </c>
      <c r="C26" s="7" t="s">
        <v>43</v>
      </c>
      <c r="E26" s="7"/>
      <c r="F26" s="7"/>
      <c r="G26" s="7"/>
      <c r="H26" s="7"/>
      <c r="I26" s="7"/>
      <c r="K26" s="8" t="s">
        <v>116</v>
      </c>
      <c r="L26" s="13">
        <f>IF(L3=0,0,SUM(L23:L25,L8:L11))</f>
        <v>30.099653218107047</v>
      </c>
      <c r="M26" s="7" t="s">
        <v>107</v>
      </c>
      <c r="N26" s="7"/>
      <c r="O26" s="8" t="s">
        <v>116</v>
      </c>
      <c r="P26" s="13">
        <f>IF(P3=0,0,SUM(P23:P25,P8:P11))</f>
        <v>0</v>
      </c>
      <c r="Q26" s="7" t="s">
        <v>107</v>
      </c>
      <c r="S26" s="8" t="s">
        <v>117</v>
      </c>
      <c r="T26" s="7">
        <v>0</v>
      </c>
      <c r="U26" s="18" t="str">
        <f>CONCATENATE("BMP_A.Sch4_restart = (open.S_ch4*BMP_A.V_inoculum+BMP_A.S_ch4_feed*BMP_A.V_feed+",T26,"*BMP_A.V_add)/BMP_A.V_liq;")</f>
        <v>BMP_A.Sch4_restart = (open.S_ch4*BMP_A.V_inoculum+BMP_A.S_ch4_feed*BMP_A.V_feed+0*BMP_A.V_add)/BMP_A.V_liq;</v>
      </c>
    </row>
    <row r="27" spans="1:21" ht="18" customHeight="1" x14ac:dyDescent="0.3">
      <c r="A27" s="8" t="s">
        <v>118</v>
      </c>
      <c r="B27" s="17">
        <v>64</v>
      </c>
      <c r="C27" s="7" t="s">
        <v>119</v>
      </c>
      <c r="E27" s="7"/>
      <c r="F27" s="7"/>
      <c r="G27" s="7"/>
      <c r="H27" s="7"/>
      <c r="I27" s="7"/>
      <c r="K27" s="8" t="s">
        <v>120</v>
      </c>
      <c r="L27" s="13">
        <f>IF(L3=0,0,$L$2*$L$3*$L$4/1000/$L$26/(350*(1-$B$8)))</f>
        <v>0.67999062578703362</v>
      </c>
      <c r="M27" s="7" t="s">
        <v>43</v>
      </c>
      <c r="N27" s="7"/>
      <c r="O27" s="8" t="s">
        <v>120</v>
      </c>
      <c r="P27" s="13">
        <f>IF(P3=0,0,$P$2*$P$3*$P$4/1000/$P$26/(350*(1-$B$8)))</f>
        <v>0</v>
      </c>
      <c r="Q27" s="7" t="s">
        <v>43</v>
      </c>
      <c r="S27" s="8" t="s">
        <v>121</v>
      </c>
      <c r="T27" s="25">
        <f>IF(L15=0,(P54*($H$2+$H$3)/1000)/($H$2+$H$3+$H$4)*1000,(L54*$H$4/1000+P54*($H$2+$H$3)/1000)/($H$2+$H$3+$H$4)*1000)</f>
        <v>8.660281796930229E-3</v>
      </c>
      <c r="U27" s="18" t="str">
        <f>CONCATENATE("BMP_A.Sic_restart = (open.S_ic*BMP_A.V_inoculum+BMP_A.S_ic_feed*BMP_A.V_feed+",T27,"*BMP_A.V_add)/BMP_A.V_liq;")</f>
        <v>BMP_A.Sic_restart = (open.S_ic*BMP_A.V_inoculum+BMP_A.S_ic_feed*BMP_A.V_feed+0.00866028179693023*BMP_A.V_add)/BMP_A.V_liq;</v>
      </c>
    </row>
    <row r="28" spans="1:21" ht="18" customHeight="1" x14ac:dyDescent="0.3">
      <c r="A28" s="8" t="s">
        <v>122</v>
      </c>
      <c r="B28" s="17">
        <v>112</v>
      </c>
      <c r="C28" s="7" t="s">
        <v>119</v>
      </c>
      <c r="E28" s="7"/>
      <c r="F28" s="7"/>
      <c r="G28" s="7"/>
      <c r="H28" s="7"/>
      <c r="I28" s="7"/>
      <c r="K28" s="8" t="s">
        <v>57</v>
      </c>
      <c r="L28" s="26">
        <f>(1-$L$27)*$L$26</f>
        <v>9.6321711903537359</v>
      </c>
      <c r="M28" s="7" t="s">
        <v>107</v>
      </c>
      <c r="O28" s="8" t="s">
        <v>57</v>
      </c>
      <c r="P28" s="26">
        <f>(1-$P$27)*$P$26</f>
        <v>0</v>
      </c>
      <c r="Q28" s="7" t="s">
        <v>107</v>
      </c>
      <c r="S28" s="22" t="s">
        <v>123</v>
      </c>
      <c r="T28" s="25">
        <f>(L44*$H$4/1000+P44*($H$2+$H$3)/1000)/($H$2+$H$3+$H$4)*1000</f>
        <v>0</v>
      </c>
      <c r="U28" s="18" t="str">
        <f>CONCATENATE("BMP_A.Sin_restart = (open.S_in*BMP_A.V_inoculum+BMP_A.S_in_feed*BMP_A.V_feed+",T28,"*BMP_A.V_add)/BMP_A.V_liq;")</f>
        <v>BMP_A.Sin_restart = (open.S_in*BMP_A.V_inoculum+BMP_A.S_in_feed*BMP_A.V_feed+0*BMP_A.V_add)/BMP_A.V_liq;</v>
      </c>
    </row>
    <row r="29" spans="1:21" ht="18" customHeight="1" x14ac:dyDescent="0.3">
      <c r="A29" s="8" t="s">
        <v>124</v>
      </c>
      <c r="B29" s="17">
        <v>160</v>
      </c>
      <c r="C29" s="7" t="s">
        <v>119</v>
      </c>
      <c r="E29" s="7"/>
      <c r="F29" s="7"/>
      <c r="G29" s="7"/>
      <c r="H29" s="7"/>
      <c r="I29" s="7"/>
      <c r="K29" s="8" t="s">
        <v>61</v>
      </c>
      <c r="L29" s="26">
        <f>(1-$L$19)*($L$23-$L$28*$L$16)</f>
        <v>2.8650858323440405</v>
      </c>
      <c r="M29" s="7" t="s">
        <v>107</v>
      </c>
      <c r="O29" s="8" t="s">
        <v>61</v>
      </c>
      <c r="P29" s="26">
        <f>(1-$P$19)*($P$23-$P$28*$P$16)</f>
        <v>0</v>
      </c>
      <c r="Q29" s="7" t="s">
        <v>107</v>
      </c>
      <c r="S29" s="8" t="s">
        <v>125</v>
      </c>
      <c r="T29" s="25">
        <f>(L47*$H$4/1000+P47*($H$2+$H$3)/1000)/($H$2+$H$3+$H$4)*1000</f>
        <v>0</v>
      </c>
      <c r="U29" s="18" t="str">
        <f>CONCATENATE("BMP_A.Sip_restart = (open.S_ip*BMP_A.V_inoculum+BMP_A.S_ip_feed*BMP_A.V_feed+",T29,"*BMP_A.V_add)/BMP_A.V_liq;")</f>
        <v>BMP_A.Sip_restart = (open.S_ip*BMP_A.V_inoculum+BMP_A.S_ip_feed*BMP_A.V_feed+0*BMP_A.V_add)/BMP_A.V_liq;</v>
      </c>
    </row>
    <row r="30" spans="1:21" ht="18" customHeight="1" x14ac:dyDescent="0.3">
      <c r="A30" s="8" t="s">
        <v>126</v>
      </c>
      <c r="B30" s="17">
        <v>208</v>
      </c>
      <c r="C30" s="7" t="s">
        <v>119</v>
      </c>
      <c r="K30" s="8" t="s">
        <v>66</v>
      </c>
      <c r="L30" s="26">
        <f>($L$19)*($L$23-$L$28*$L$16)</f>
        <v>0.31834287026044894</v>
      </c>
      <c r="M30" s="7" t="s">
        <v>107</v>
      </c>
      <c r="O30" s="8" t="s">
        <v>66</v>
      </c>
      <c r="P30" s="26">
        <f>($P$19)*($P$23-$P$28*$P$16)</f>
        <v>0</v>
      </c>
      <c r="Q30" s="7" t="s">
        <v>107</v>
      </c>
      <c r="S30" s="8" t="s">
        <v>127</v>
      </c>
      <c r="T30" s="21">
        <f>N80</f>
        <v>2.8088010000000004E-2</v>
      </c>
      <c r="U30" s="18" t="str">
        <f>CONCATENATE("BMP_A.Scat_restart = (open.S_cat*BMP_A.V_inoculum+BMP_A.S_cat_feed*BMP_A.V_feed+",T30,"*BMP_A.V_add)/BMP_A.V_liq;")</f>
        <v>BMP_A.Scat_restart = (open.S_cat*BMP_A.V_inoculum+BMP_A.S_cat_feed*BMP_A.V_feed+0.02808801*BMP_A.V_add)/BMP_A.V_liq;</v>
      </c>
    </row>
    <row r="31" spans="1:21" ht="18" customHeight="1" x14ac:dyDescent="0.3">
      <c r="K31" s="8" t="s">
        <v>71</v>
      </c>
      <c r="L31" s="26">
        <f>(1-$L$20)*($L$24-$L$28*$L$17)</f>
        <v>5.1787403590821866</v>
      </c>
      <c r="M31" s="7" t="s">
        <v>107</v>
      </c>
      <c r="O31" s="8" t="s">
        <v>71</v>
      </c>
      <c r="P31" s="26">
        <f>(1-$P$20)*($P$24-$P$28*$P$17)</f>
        <v>0</v>
      </c>
      <c r="Q31" s="7" t="s">
        <v>107</v>
      </c>
      <c r="S31" s="8" t="s">
        <v>128</v>
      </c>
      <c r="T31" s="30">
        <v>0</v>
      </c>
      <c r="U31" s="18" t="str">
        <f>CONCATENATE("BMP_A.Sca_restart = (open.S_ca*BMP_A.V_inoculum+BMP_A.S_ca_feed*BMP_A.V_feed+",T31,"*BMP_A.V_add)/BMP_A.V_liq;")</f>
        <v>BMP_A.Sca_restart = (open.S_ca*BMP_A.V_inoculum+BMP_A.S_ca_feed*BMP_A.V_feed+0*BMP_A.V_add)/BMP_A.V_liq;</v>
      </c>
    </row>
    <row r="32" spans="1:21" ht="18" customHeight="1" x14ac:dyDescent="0.3">
      <c r="K32" s="8" t="s">
        <v>75</v>
      </c>
      <c r="L32" s="26">
        <f>($L$20)*($L$24-$L$28*$L$17)</f>
        <v>0.57541559545357623</v>
      </c>
      <c r="M32" s="7" t="s">
        <v>107</v>
      </c>
      <c r="O32" s="8" t="s">
        <v>75</v>
      </c>
      <c r="P32" s="26">
        <f>($P$20)*($P$24-$P$28*$P$17)</f>
        <v>0</v>
      </c>
      <c r="Q32" s="7" t="s">
        <v>107</v>
      </c>
      <c r="S32" s="8" t="s">
        <v>129</v>
      </c>
      <c r="T32" s="30">
        <v>0</v>
      </c>
      <c r="U32" s="18" t="str">
        <f>CONCATENATE("BMP_A.Smg_restart = (open.S_mg*BMP_A.V_inoculum+BMP_A.S_mg_feed*BMP_A.V_feed+",T32,"*BMP_A.V_add)/BMP_A.V_liq;")</f>
        <v>BMP_A.Smg_restart = (open.S_mg*BMP_A.V_inoculum+BMP_A.S_mg_feed*BMP_A.V_feed+0*BMP_A.V_add)/BMP_A.V_liq;</v>
      </c>
    </row>
    <row r="33" spans="1:21" ht="18" customHeight="1" x14ac:dyDescent="0.3">
      <c r="K33" s="8" t="s">
        <v>80</v>
      </c>
      <c r="L33" s="26">
        <f>($L$25-$L$28*$L$18)</f>
        <v>10.224446903600397</v>
      </c>
      <c r="M33" s="7" t="s">
        <v>107</v>
      </c>
      <c r="O33" s="8" t="s">
        <v>80</v>
      </c>
      <c r="P33" s="26">
        <f>($P$25-$P$28*$P$18)</f>
        <v>0</v>
      </c>
      <c r="Q33" s="7" t="s">
        <v>107</v>
      </c>
      <c r="S33" s="8" t="s">
        <v>130</v>
      </c>
      <c r="T33" s="21">
        <f>N79</f>
        <v>0.02</v>
      </c>
      <c r="U33" s="18" t="str">
        <f>CONCATENATE("BMP_A.San_restart = (open.S_an*BMP_A.V_inoculum+BMP_A.S_an_feed*BMP_A.V_feed+",T33,"*BMP_A.V_add)/BMP_A.V_liq;")</f>
        <v>BMP_A.San_restart = (open.S_an*BMP_A.V_inoculum+BMP_A.S_an_feed*BMP_A.V_feed+0.02*BMP_A.V_add)/BMP_A.V_liq;</v>
      </c>
    </row>
    <row r="34" spans="1:21" ht="18" customHeight="1" x14ac:dyDescent="0.3">
      <c r="K34" s="8" t="s">
        <v>100</v>
      </c>
      <c r="L34" s="13">
        <f>L11</f>
        <v>6.6481768270944749E-2</v>
      </c>
      <c r="M34" s="7" t="s">
        <v>107</v>
      </c>
      <c r="O34" s="8" t="s">
        <v>100</v>
      </c>
      <c r="P34" s="13">
        <f>P11</f>
        <v>0</v>
      </c>
      <c r="Q34" s="7" t="s">
        <v>107</v>
      </c>
      <c r="S34" s="8" t="s">
        <v>131</v>
      </c>
      <c r="T34" s="7">
        <v>0</v>
      </c>
      <c r="U34" s="18" t="str">
        <f>CONCATENATE("BMP_A.ash_restart = (open.ash*BMP_A.V_inoculum+BMP_A.ash_feed*BMP_A.V_feed+",T34,"*BMP_A.V_add)/BMP_A.V_liq;")</f>
        <v>BMP_A.ash_restart = (open.ash*BMP_A.V_inoculum+BMP_A.ash_feed*BMP_A.V_feed+0*BMP_A.V_add)/BMP_A.V_liq;</v>
      </c>
    </row>
    <row r="35" spans="1:21" ht="18" customHeight="1" x14ac:dyDescent="0.3">
      <c r="A35" s="2"/>
      <c r="K35" s="8" t="s">
        <v>104</v>
      </c>
      <c r="L35" s="13">
        <f>L10</f>
        <v>0.16090694214876031</v>
      </c>
      <c r="M35" s="7" t="s">
        <v>107</v>
      </c>
      <c r="O35" s="8" t="s">
        <v>104</v>
      </c>
      <c r="P35" s="13">
        <f>P10</f>
        <v>0</v>
      </c>
      <c r="Q35" s="7" t="s">
        <v>107</v>
      </c>
      <c r="S35" s="8" t="s">
        <v>132</v>
      </c>
      <c r="T35" s="7">
        <v>0</v>
      </c>
      <c r="U35" s="18" t="str">
        <f>CONCATENATE("BMP_A.Xlig_restart = (open.X_lig*BMP_A.V_inoculum+BMP_A.X_lig_feed*BMP_A.V_feed+",T35,"*BMP_A.V_add)/BMP_A.V_liq;")</f>
        <v>BMP_A.Xlig_restart = (open.X_lig*BMP_A.V_inoculum+BMP_A.X_lig_feed*BMP_A.V_feed+0*BMP_A.V_add)/BMP_A.V_liq;</v>
      </c>
    </row>
    <row r="36" spans="1:21" ht="18" customHeight="1" x14ac:dyDescent="0.3">
      <c r="K36" s="8" t="s">
        <v>108</v>
      </c>
      <c r="L36" s="13">
        <f>L9</f>
        <v>0.32682810810810808</v>
      </c>
      <c r="M36" s="7" t="s">
        <v>107</v>
      </c>
      <c r="O36" s="8" t="s">
        <v>108</v>
      </c>
      <c r="P36" s="13">
        <f>P9</f>
        <v>0</v>
      </c>
      <c r="Q36" s="7" t="s">
        <v>107</v>
      </c>
    </row>
    <row r="37" spans="1:21" ht="18" customHeight="1" x14ac:dyDescent="0.3">
      <c r="K37" s="8" t="s">
        <v>111</v>
      </c>
      <c r="L37" s="13">
        <f>L8</f>
        <v>0.75123364848484853</v>
      </c>
      <c r="M37" s="7" t="s">
        <v>107</v>
      </c>
      <c r="O37" s="8" t="s">
        <v>111</v>
      </c>
      <c r="P37" s="13">
        <f>P8</f>
        <v>0</v>
      </c>
      <c r="Q37" s="7" t="s">
        <v>107</v>
      </c>
    </row>
    <row r="38" spans="1:21" ht="18" customHeight="1" x14ac:dyDescent="0.3">
      <c r="K38" s="2" t="s">
        <v>133</v>
      </c>
      <c r="L38" s="20">
        <f>IF(L14=0,0,(10^(-L14)))</f>
        <v>2.5118864315095806E-6</v>
      </c>
      <c r="M38" s="1" t="s">
        <v>51</v>
      </c>
      <c r="O38" s="2" t="s">
        <v>133</v>
      </c>
      <c r="P38" s="20">
        <f>IF(P14=0,0,(10^(-P14)))</f>
        <v>3.1622776601683699E-8</v>
      </c>
      <c r="Q38" s="1" t="s">
        <v>51</v>
      </c>
    </row>
    <row r="39" spans="1:21" ht="18" customHeight="1" x14ac:dyDescent="0.3">
      <c r="K39" s="2" t="s">
        <v>134</v>
      </c>
      <c r="L39" s="20">
        <f>IF(L14=0,0,$H$18/L38)</f>
        <v>3.9810717055349714E-9</v>
      </c>
      <c r="M39" s="1" t="s">
        <v>51</v>
      </c>
      <c r="O39" s="2" t="s">
        <v>134</v>
      </c>
      <c r="P39" s="20">
        <f>IF(P14=0,0,$H$18/P38)</f>
        <v>3.1622776601683887E-7</v>
      </c>
      <c r="Q39" s="1" t="s">
        <v>51</v>
      </c>
    </row>
    <row r="40" spans="1:21" ht="18" customHeight="1" x14ac:dyDescent="0.3">
      <c r="A40" s="8"/>
      <c r="K40" s="2" t="s">
        <v>135</v>
      </c>
      <c r="L40" s="20">
        <f>L8/$B$27*$H$9/(L38+$H$9)</f>
        <v>1.0255635425715722E-2</v>
      </c>
      <c r="M40" s="1" t="s">
        <v>51</v>
      </c>
      <c r="O40" s="2" t="s">
        <v>135</v>
      </c>
      <c r="P40" s="20">
        <f>P8/$B$27*$H$9/(P38+$H$9)</f>
        <v>0</v>
      </c>
      <c r="Q40" s="1" t="s">
        <v>51</v>
      </c>
    </row>
    <row r="41" spans="1:21" ht="18" customHeight="1" x14ac:dyDescent="0.3">
      <c r="K41" s="2" t="s">
        <v>136</v>
      </c>
      <c r="L41" s="20">
        <f>L9/$B$28*$H$10/(L38+$H$10)</f>
        <v>2.4510669324247108E-3</v>
      </c>
      <c r="M41" s="1" t="s">
        <v>51</v>
      </c>
      <c r="O41" s="2" t="s">
        <v>136</v>
      </c>
      <c r="P41" s="20">
        <f>P9/$B$28*$H$10/(P38+$H$10)</f>
        <v>0</v>
      </c>
      <c r="Q41" s="1" t="s">
        <v>51</v>
      </c>
    </row>
    <row r="42" spans="1:21" ht="18" customHeight="1" x14ac:dyDescent="0.3">
      <c r="K42" s="2" t="s">
        <v>137</v>
      </c>
      <c r="L42" s="20">
        <f>L10/$B$29*$H$11/(L38+$H$11)</f>
        <v>8.6252488738536987E-4</v>
      </c>
      <c r="M42" s="1" t="s">
        <v>51</v>
      </c>
      <c r="O42" s="2" t="s">
        <v>137</v>
      </c>
      <c r="P42" s="20">
        <f>P10/$B$29*$H$11/(P38+$H$11)</f>
        <v>0</v>
      </c>
      <c r="Q42" s="1" t="s">
        <v>51</v>
      </c>
    </row>
    <row r="43" spans="1:21" ht="18" customHeight="1" x14ac:dyDescent="0.3">
      <c r="K43" s="2" t="s">
        <v>138</v>
      </c>
      <c r="L43" s="20">
        <f>L11/$B$30*$H$12/(L38+$H$12)</f>
        <v>2.7041622266199365E-4</v>
      </c>
      <c r="M43" s="1" t="s">
        <v>51</v>
      </c>
      <c r="O43" s="2" t="s">
        <v>138</v>
      </c>
      <c r="P43" s="20">
        <f>P11/$B$30*$H$12/(P38+$H$12)</f>
        <v>0</v>
      </c>
      <c r="Q43" s="1" t="s">
        <v>51</v>
      </c>
    </row>
    <row r="44" spans="1:21" ht="18" customHeight="1" x14ac:dyDescent="0.3">
      <c r="K44" s="2" t="s">
        <v>123</v>
      </c>
      <c r="L44" s="20">
        <f>L12/$B$15/1000</f>
        <v>5.1428571428571435E-3</v>
      </c>
      <c r="M44" s="1" t="s">
        <v>51</v>
      </c>
      <c r="O44" s="2" t="s">
        <v>123</v>
      </c>
      <c r="P44" s="20">
        <f>P12/$B$15/1000</f>
        <v>0</v>
      </c>
      <c r="Q44" s="1" t="s">
        <v>51</v>
      </c>
    </row>
    <row r="45" spans="1:21" ht="18" customHeight="1" x14ac:dyDescent="0.3">
      <c r="K45" s="2" t="s">
        <v>139</v>
      </c>
      <c r="L45" s="20">
        <f>L44*L38/($H$14+L38)</f>
        <v>5.1417060582530519E-3</v>
      </c>
      <c r="M45" s="1" t="s">
        <v>51</v>
      </c>
      <c r="O45" s="2" t="s">
        <v>139</v>
      </c>
      <c r="P45" s="20">
        <f>P44*P38/($H$14+P38)</f>
        <v>0</v>
      </c>
      <c r="Q45" s="1" t="s">
        <v>51</v>
      </c>
    </row>
    <row r="46" spans="1:21" ht="18" customHeight="1" x14ac:dyDescent="0.3">
      <c r="K46" s="2" t="s">
        <v>140</v>
      </c>
      <c r="L46" s="20">
        <f>L44-L45</f>
        <v>1.1510846040915443E-6</v>
      </c>
      <c r="M46" s="1" t="s">
        <v>51</v>
      </c>
      <c r="O46" s="2" t="s">
        <v>140</v>
      </c>
      <c r="P46" s="20">
        <f>P44-P45</f>
        <v>0</v>
      </c>
      <c r="Q46" s="1" t="s">
        <v>51</v>
      </c>
    </row>
    <row r="47" spans="1:21" ht="18" customHeight="1" x14ac:dyDescent="0.3">
      <c r="K47" s="2" t="s">
        <v>125</v>
      </c>
      <c r="L47" s="20">
        <f>L13/$B$16/1000</f>
        <v>1.0161290322580644E-3</v>
      </c>
      <c r="M47" s="6" t="s">
        <v>51</v>
      </c>
      <c r="O47" s="2" t="s">
        <v>125</v>
      </c>
      <c r="P47" s="20">
        <f>P13/$B$16/1000</f>
        <v>0</v>
      </c>
      <c r="Q47" s="6" t="s">
        <v>51</v>
      </c>
    </row>
    <row r="48" spans="1:21" ht="18" customHeight="1" x14ac:dyDescent="0.3">
      <c r="K48" s="2" t="s">
        <v>141</v>
      </c>
      <c r="L48" s="20">
        <f>$H$15*L47/($H$15+L38+L38^2/$H$16+L38^3/($H$16*$H$17))</f>
        <v>2.0714602078681818E-12</v>
      </c>
      <c r="M48" s="6" t="s">
        <v>51</v>
      </c>
      <c r="O48" s="2" t="s">
        <v>141</v>
      </c>
      <c r="P48" s="20">
        <f>$H$15*P47/($H$15+P38+P38^2/$H$16+P38^3/($H$16*$H$17))</f>
        <v>0</v>
      </c>
      <c r="Q48" s="6" t="s">
        <v>51</v>
      </c>
    </row>
    <row r="49" spans="11:17" ht="18" customHeight="1" x14ac:dyDescent="0.3">
      <c r="K49" s="2" t="s">
        <v>142</v>
      </c>
      <c r="L49" s="27">
        <f>$H$16*L47/($H$15*$H$16/L38+$H$16+L38+(L38^2)/$H$17)</f>
        <v>2.4337535333788652E-5</v>
      </c>
      <c r="M49" s="6" t="s">
        <v>51</v>
      </c>
      <c r="O49" s="2" t="s">
        <v>142</v>
      </c>
      <c r="P49" s="20">
        <f>$H$16*P47/($H$15*$H$16/P38+$H$16+P38+(P38^2)/$H$17)</f>
        <v>0</v>
      </c>
      <c r="Q49" s="6" t="s">
        <v>51</v>
      </c>
    </row>
    <row r="50" spans="11:17" ht="18" customHeight="1" x14ac:dyDescent="0.3">
      <c r="K50" s="2" t="s">
        <v>143</v>
      </c>
      <c r="L50" s="27">
        <f>L47*$H$17/(L38+$H$17+$H$17*$H$16/L38+$H$17*$H$16*$H$15/(L38^2))</f>
        <v>9.9146319053462534E-4</v>
      </c>
      <c r="M50" s="6" t="s">
        <v>51</v>
      </c>
      <c r="O50" s="2" t="s">
        <v>143</v>
      </c>
      <c r="P50" s="20">
        <f>P47*$H$17/(P38+$H$17+$H$17*$H$16/P38+$H$17*$H$16*$H$15/(P38^2))</f>
        <v>0</v>
      </c>
      <c r="Q50" s="6" t="s">
        <v>51</v>
      </c>
    </row>
    <row r="51" spans="11:17" ht="18" customHeight="1" x14ac:dyDescent="0.3">
      <c r="K51" s="2" t="s">
        <v>144</v>
      </c>
      <c r="L51" s="20">
        <f>L47-L48-L49-L50</f>
        <v>3.2830431819018228E-7</v>
      </c>
      <c r="M51" s="6" t="s">
        <v>51</v>
      </c>
      <c r="O51" s="2" t="s">
        <v>144</v>
      </c>
      <c r="P51" s="20">
        <f>P47-P48-P49-P50</f>
        <v>0</v>
      </c>
      <c r="Q51" s="6" t="s">
        <v>51</v>
      </c>
    </row>
    <row r="52" spans="11:17" ht="18" customHeight="1" x14ac:dyDescent="0.3">
      <c r="K52" s="2" t="s">
        <v>145</v>
      </c>
      <c r="L52" s="24">
        <f>L15/$B$13*2/1000</f>
        <v>5.2479999999999999E-2</v>
      </c>
      <c r="M52" s="1" t="s">
        <v>51</v>
      </c>
      <c r="O52" s="2" t="s">
        <v>145</v>
      </c>
      <c r="P52" s="24">
        <f>P15/$B$13*2/1000</f>
        <v>8.0879999999999997E-3</v>
      </c>
      <c r="Q52" s="1" t="s">
        <v>51</v>
      </c>
    </row>
    <row r="53" spans="11:17" ht="18" customHeight="1" x14ac:dyDescent="0.3">
      <c r="K53" s="2" t="s">
        <v>146</v>
      </c>
      <c r="L53" s="24">
        <f>L52-SUM(L40:L43)-L39+L38-L46-L49-2*L48+L51</f>
        <v>3.861770411740939E-2</v>
      </c>
      <c r="M53" s="1" t="s">
        <v>51</v>
      </c>
      <c r="O53" s="2" t="s">
        <v>146</v>
      </c>
      <c r="P53" s="24">
        <f>P52-SUM(P40:P43)-P39+P38-P46-P49-2*P48+P51</f>
        <v>8.0877153950105855E-3</v>
      </c>
      <c r="Q53" s="1" t="s">
        <v>51</v>
      </c>
    </row>
    <row r="54" spans="11:17" ht="18" customHeight="1" x14ac:dyDescent="0.3">
      <c r="K54" s="2" t="s">
        <v>121</v>
      </c>
      <c r="L54" s="24">
        <f>L53*(L38+$H$13)/$H$13</f>
        <v>0.25578101320933733</v>
      </c>
      <c r="M54" s="1" t="s">
        <v>51</v>
      </c>
      <c r="O54" s="2" t="s">
        <v>121</v>
      </c>
      <c r="P54" s="24">
        <f>P53*(P38+$H$13)/$H$13</f>
        <v>8.6602817969302272E-3</v>
      </c>
      <c r="Q54" s="1" t="s">
        <v>51</v>
      </c>
    </row>
    <row r="55" spans="11:17" ht="18" customHeight="1" x14ac:dyDescent="0.3">
      <c r="K55" s="2" t="s">
        <v>147</v>
      </c>
      <c r="L55" s="24">
        <f>L54-L53</f>
        <v>0.21716330909192794</v>
      </c>
      <c r="M55" s="1" t="s">
        <v>51</v>
      </c>
      <c r="O55" s="2" t="s">
        <v>147</v>
      </c>
      <c r="P55" s="24">
        <f>P54-P53</f>
        <v>5.7256640191964171E-4</v>
      </c>
      <c r="Q55" s="1" t="s">
        <v>51</v>
      </c>
    </row>
    <row r="56" spans="11:17" ht="18" customHeight="1" x14ac:dyDescent="0.3">
      <c r="K56" s="2" t="s">
        <v>148</v>
      </c>
      <c r="L56" s="23">
        <f>L38-L39-L40-L41-L42-L43+L45-3*L48-2*L49-L50+L57-L53</f>
        <v>-8.3532718894009164E-3</v>
      </c>
      <c r="M56" s="1" t="s">
        <v>149</v>
      </c>
      <c r="O56" s="2" t="s">
        <v>148</v>
      </c>
      <c r="P56" s="23">
        <f>P38-P39-P40-P41-P42-P43+P45-3*P48-2*P49-P50+P57-P53</f>
        <v>-7.588000000000001E-3</v>
      </c>
      <c r="Q56" s="1" t="s">
        <v>149</v>
      </c>
    </row>
    <row r="57" spans="11:17" ht="18" customHeight="1" x14ac:dyDescent="0.3">
      <c r="K57" s="2" t="s">
        <v>150</v>
      </c>
      <c r="L57" s="4">
        <v>0.04</v>
      </c>
      <c r="M57" s="1" t="s">
        <v>51</v>
      </c>
      <c r="O57" s="2" t="s">
        <v>150</v>
      </c>
      <c r="P57" s="4">
        <v>5.0000000000000001E-4</v>
      </c>
      <c r="Q57" s="1" t="s">
        <v>51</v>
      </c>
    </row>
    <row r="58" spans="11:17" ht="18" customHeight="1" x14ac:dyDescent="0.3">
      <c r="K58" s="2" t="s">
        <v>130</v>
      </c>
      <c r="L58" s="28">
        <v>0.02</v>
      </c>
      <c r="M58" s="1" t="s">
        <v>51</v>
      </c>
      <c r="O58" s="2" t="s">
        <v>130</v>
      </c>
      <c r="P58" s="28">
        <v>0.02</v>
      </c>
      <c r="Q58" s="1" t="s">
        <v>51</v>
      </c>
    </row>
    <row r="59" spans="11:17" ht="18" customHeight="1" x14ac:dyDescent="0.3">
      <c r="K59" s="2" t="s">
        <v>127</v>
      </c>
      <c r="L59" s="29">
        <f>L57+L58</f>
        <v>0.06</v>
      </c>
      <c r="M59" s="1" t="s">
        <v>51</v>
      </c>
      <c r="O59" s="2" t="s">
        <v>127</v>
      </c>
      <c r="P59" s="29">
        <f>P57+P58</f>
        <v>2.0500000000000001E-2</v>
      </c>
      <c r="Q59" s="1" t="s">
        <v>51</v>
      </c>
    </row>
    <row r="62" spans="11:17" ht="18" customHeight="1" x14ac:dyDescent="0.3">
      <c r="M62" s="36" t="s">
        <v>151</v>
      </c>
      <c r="N62" s="36"/>
      <c r="O62" s="36"/>
    </row>
    <row r="63" spans="11:17" ht="18" customHeight="1" x14ac:dyDescent="0.3">
      <c r="M63" s="2" t="s">
        <v>133</v>
      </c>
      <c r="N63" s="20">
        <f>(L38*$H$4/1000+P38*($H$2+$H$3)/1000)/($H$2+$H$3+$H$4)*1000</f>
        <v>3.1622776601683706E-8</v>
      </c>
      <c r="O63" s="1" t="s">
        <v>51</v>
      </c>
    </row>
    <row r="64" spans="11:17" ht="18" customHeight="1" x14ac:dyDescent="0.3">
      <c r="M64" s="2" t="s">
        <v>134</v>
      </c>
      <c r="N64" s="20">
        <f>$H$18/N63</f>
        <v>3.1622776601683882E-7</v>
      </c>
      <c r="O64" s="1" t="s">
        <v>51</v>
      </c>
    </row>
    <row r="65" spans="13:15" ht="18" customHeight="1" x14ac:dyDescent="0.3">
      <c r="M65" s="2" t="s">
        <v>135</v>
      </c>
      <c r="N65" s="20">
        <f>(L40*$H$4/1000+P40*($H$2+$H$3)/1000)/($H$2+$H$3+$H$4)*1000</f>
        <v>0</v>
      </c>
      <c r="O65" s="1" t="s">
        <v>51</v>
      </c>
    </row>
    <row r="66" spans="13:15" ht="18" customHeight="1" x14ac:dyDescent="0.3">
      <c r="M66" s="2" t="s">
        <v>136</v>
      </c>
      <c r="N66" s="20">
        <f t="shared" ref="N66:N68" si="2">(L41*$H$4/1000+P41*($H$2+$H$3)/1000)/($H$2+$H$3+$H$4)*1000</f>
        <v>0</v>
      </c>
      <c r="O66" s="1" t="s">
        <v>51</v>
      </c>
    </row>
    <row r="67" spans="13:15" ht="18" customHeight="1" x14ac:dyDescent="0.3">
      <c r="M67" s="2" t="s">
        <v>137</v>
      </c>
      <c r="N67" s="20">
        <f t="shared" si="2"/>
        <v>0</v>
      </c>
      <c r="O67" s="1" t="s">
        <v>51</v>
      </c>
    </row>
    <row r="68" spans="13:15" ht="18" customHeight="1" x14ac:dyDescent="0.3">
      <c r="M68" s="2" t="s">
        <v>138</v>
      </c>
      <c r="N68" s="20">
        <f t="shared" si="2"/>
        <v>0</v>
      </c>
      <c r="O68" s="1" t="s">
        <v>51</v>
      </c>
    </row>
    <row r="69" spans="13:15" ht="18" customHeight="1" x14ac:dyDescent="0.3">
      <c r="M69" s="2" t="s">
        <v>139</v>
      </c>
      <c r="N69" s="20">
        <f>T28*N63/($H$14+N63)</f>
        <v>0</v>
      </c>
      <c r="O69" s="1" t="s">
        <v>51</v>
      </c>
    </row>
    <row r="70" spans="13:15" ht="18" customHeight="1" x14ac:dyDescent="0.3">
      <c r="M70" s="2" t="s">
        <v>140</v>
      </c>
      <c r="N70" s="20">
        <f>T28-N69</f>
        <v>0</v>
      </c>
      <c r="O70" s="1" t="s">
        <v>51</v>
      </c>
    </row>
    <row r="71" spans="13:15" ht="18" customHeight="1" x14ac:dyDescent="0.3">
      <c r="M71" s="2" t="s">
        <v>141</v>
      </c>
      <c r="N71" s="20">
        <f>$H$15*T29/($H$15+N63+N63^2/$H$16+N63^3/($H$16*$H$17))</f>
        <v>0</v>
      </c>
      <c r="O71" s="6" t="s">
        <v>51</v>
      </c>
    </row>
    <row r="72" spans="13:15" ht="18" customHeight="1" x14ac:dyDescent="0.3">
      <c r="M72" s="2" t="s">
        <v>142</v>
      </c>
      <c r="N72" s="20">
        <f>$H$16*T29/($H$15*$H$16/N63+$H$16+N63+(N63^2)/$H$17)</f>
        <v>0</v>
      </c>
      <c r="O72" s="6" t="s">
        <v>51</v>
      </c>
    </row>
    <row r="73" spans="13:15" ht="18" customHeight="1" x14ac:dyDescent="0.3">
      <c r="M73" s="2" t="s">
        <v>143</v>
      </c>
      <c r="N73" s="20">
        <f>T29*$H$17/(N63+$H$17+$H$17*$H$16/N63+$H$17*$H$16*$H$15/(N63^2))</f>
        <v>0</v>
      </c>
      <c r="O73" s="6" t="s">
        <v>51</v>
      </c>
    </row>
    <row r="74" spans="13:15" ht="18" customHeight="1" x14ac:dyDescent="0.3">
      <c r="M74" s="2" t="s">
        <v>144</v>
      </c>
      <c r="N74" s="20">
        <f>T29-N71-N72-N73</f>
        <v>0</v>
      </c>
      <c r="O74" s="6" t="s">
        <v>51</v>
      </c>
    </row>
    <row r="75" spans="13:15" ht="18" customHeight="1" x14ac:dyDescent="0.3">
      <c r="M75" s="2" t="s">
        <v>146</v>
      </c>
      <c r="N75" s="24">
        <f>T27*$H$13/($H$13+N63)</f>
        <v>8.0877153950105873E-3</v>
      </c>
      <c r="O75" s="1" t="s">
        <v>51</v>
      </c>
    </row>
    <row r="76" spans="13:15" ht="18" customHeight="1" x14ac:dyDescent="0.3">
      <c r="M76" s="2" t="s">
        <v>147</v>
      </c>
      <c r="N76" s="24">
        <f>T27-N75</f>
        <v>5.7256640191964171E-4</v>
      </c>
      <c r="O76" s="1" t="s">
        <v>51</v>
      </c>
    </row>
    <row r="77" spans="13:15" ht="18" customHeight="1" x14ac:dyDescent="0.3">
      <c r="M77" s="2" t="s">
        <v>148</v>
      </c>
      <c r="N77" s="23">
        <f>N63-N64-N65-N66-N67-N68+N69-3*N71-2*N72-N73+N78-N75</f>
        <v>9.9999999999406119E-9</v>
      </c>
      <c r="O77" s="1" t="s">
        <v>149</v>
      </c>
    </row>
    <row r="78" spans="13:15" ht="18" customHeight="1" x14ac:dyDescent="0.3">
      <c r="M78" s="2" t="s">
        <v>150</v>
      </c>
      <c r="N78" s="4">
        <v>8.0880100000000031E-3</v>
      </c>
      <c r="O78" s="1" t="s">
        <v>51</v>
      </c>
    </row>
    <row r="79" spans="13:15" ht="18" customHeight="1" x14ac:dyDescent="0.3">
      <c r="M79" s="2" t="s">
        <v>130</v>
      </c>
      <c r="N79" s="28">
        <v>0.02</v>
      </c>
      <c r="O79" s="1" t="s">
        <v>51</v>
      </c>
    </row>
    <row r="80" spans="13:15" ht="18" customHeight="1" x14ac:dyDescent="0.3">
      <c r="M80" s="2" t="s">
        <v>127</v>
      </c>
      <c r="N80" s="29">
        <f>N78+N79</f>
        <v>2.8088010000000004E-2</v>
      </c>
      <c r="O80" s="1" t="s">
        <v>51</v>
      </c>
    </row>
  </sheetData>
  <mergeCells count="9">
    <mergeCell ref="A1:C1"/>
    <mergeCell ref="G1:I1"/>
    <mergeCell ref="K1:M1"/>
    <mergeCell ref="O1:Q1"/>
    <mergeCell ref="S1:U1"/>
    <mergeCell ref="G8:I8"/>
    <mergeCell ref="K22:M22"/>
    <mergeCell ref="O22:Q22"/>
    <mergeCell ref="M62:O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FCA3-F064-48C9-8E80-18F194A796EB}">
  <dimension ref="A1:U80"/>
  <sheetViews>
    <sheetView topLeftCell="A64" zoomScale="85" zoomScaleNormal="85" workbookViewId="0">
      <selection activeCell="L76" sqref="L76:L77"/>
    </sheetView>
  </sheetViews>
  <sheetFormatPr defaultColWidth="8.88671875" defaultRowHeight="18" customHeight="1" x14ac:dyDescent="0.3"/>
  <cols>
    <col min="1" max="21" width="10.6640625" style="6" customWidth="1"/>
    <col min="22" max="16384" width="8.88671875" style="6"/>
  </cols>
  <sheetData>
    <row r="1" spans="1:21" ht="18" customHeight="1" x14ac:dyDescent="0.3">
      <c r="A1" s="37" t="s">
        <v>0</v>
      </c>
      <c r="B1" s="37"/>
      <c r="C1" s="37"/>
      <c r="G1" s="38" t="s">
        <v>1</v>
      </c>
      <c r="H1" s="38"/>
      <c r="I1" s="38"/>
      <c r="K1" s="38" t="s">
        <v>2</v>
      </c>
      <c r="L1" s="38"/>
      <c r="M1" s="38"/>
      <c r="N1" s="7"/>
      <c r="O1" s="38" t="s">
        <v>3</v>
      </c>
      <c r="P1" s="38"/>
      <c r="Q1" s="38"/>
      <c r="S1" s="35" t="s">
        <v>4</v>
      </c>
      <c r="T1" s="35"/>
      <c r="U1" s="35"/>
    </row>
    <row r="2" spans="1:21" ht="18" customHeight="1" x14ac:dyDescent="0.3">
      <c r="A2" s="2" t="s">
        <v>5</v>
      </c>
      <c r="B2" s="9">
        <f>32*6/180</f>
        <v>1.0666666666666667</v>
      </c>
      <c r="C2" s="3" t="s">
        <v>6</v>
      </c>
      <c r="D2" s="7" t="s">
        <v>7</v>
      </c>
      <c r="G2" s="2" t="s">
        <v>8</v>
      </c>
      <c r="H2" s="11">
        <v>45</v>
      </c>
      <c r="I2" s="7" t="s">
        <v>9</v>
      </c>
      <c r="K2" s="2" t="s">
        <v>10</v>
      </c>
      <c r="L2" s="11">
        <v>296.66430982605573</v>
      </c>
      <c r="M2" s="7" t="s">
        <v>11</v>
      </c>
      <c r="N2" s="7"/>
      <c r="O2" s="2" t="s">
        <v>10</v>
      </c>
      <c r="P2" s="11">
        <v>0</v>
      </c>
      <c r="Q2" s="7" t="s">
        <v>11</v>
      </c>
      <c r="S2" s="8" t="s">
        <v>12</v>
      </c>
      <c r="T2" s="7">
        <v>0</v>
      </c>
      <c r="U2" s="18" t="str">
        <f>CONCATENATE("Acetato_A.Xsu_restart = (open.X_su*Acetato_A.V_inoculum+",T2,"*Acetato_A.V_add)/Acetato_A.V_liq;")</f>
        <v>Acetato_A.Xsu_restart = (open.X_su*Acetato_A.V_inoculum+0*Acetato_A.V_add)/Acetato_A.V_liq;</v>
      </c>
    </row>
    <row r="3" spans="1:21" ht="18" customHeight="1" x14ac:dyDescent="0.3">
      <c r="A3" s="2" t="s">
        <v>13</v>
      </c>
      <c r="B3" s="9">
        <v>1.58</v>
      </c>
      <c r="C3" s="3" t="s">
        <v>14</v>
      </c>
      <c r="D3" s="7" t="s">
        <v>7</v>
      </c>
      <c r="G3" s="2" t="s">
        <v>15</v>
      </c>
      <c r="H3" s="10">
        <v>87</v>
      </c>
      <c r="I3" s="7" t="s">
        <v>9</v>
      </c>
      <c r="K3" s="2" t="s">
        <v>16</v>
      </c>
      <c r="L3" s="11">
        <v>22.074245353646802</v>
      </c>
      <c r="M3" s="7" t="s">
        <v>17</v>
      </c>
      <c r="N3" s="7"/>
      <c r="O3" s="2" t="s">
        <v>16</v>
      </c>
      <c r="P3" s="11">
        <v>0</v>
      </c>
      <c r="Q3" s="7" t="s">
        <v>17</v>
      </c>
      <c r="S3" s="8" t="s">
        <v>18</v>
      </c>
      <c r="T3" s="7">
        <v>0</v>
      </c>
      <c r="U3" s="18" t="str">
        <f>CONCATENATE("Acetato_A.Xaa_restart = (open.X_aa*Acetato_A.V_inoculum+",T3,"*Acetato_A.V_add)/Acetato_A.V_liq;")</f>
        <v>Acetato_A.Xaa_restart = (open.X_aa*Acetato_A.V_inoculum+0*Acetato_A.V_add)/Acetato_A.V_liq;</v>
      </c>
    </row>
    <row r="4" spans="1:21" ht="18" customHeight="1" x14ac:dyDescent="0.3">
      <c r="A4" s="2" t="s">
        <v>19</v>
      </c>
      <c r="B4" s="9">
        <v>1.53</v>
      </c>
      <c r="C4" s="3" t="s">
        <v>20</v>
      </c>
      <c r="D4" s="7" t="s">
        <v>7</v>
      </c>
      <c r="G4" s="5" t="s">
        <v>21</v>
      </c>
      <c r="H4" s="12">
        <v>0</v>
      </c>
      <c r="I4" s="7" t="s">
        <v>9</v>
      </c>
      <c r="K4" s="8" t="s">
        <v>22</v>
      </c>
      <c r="L4" s="14">
        <v>1006.3965106169907</v>
      </c>
      <c r="M4" s="7" t="s">
        <v>23</v>
      </c>
      <c r="N4" s="7"/>
      <c r="O4" s="8" t="s">
        <v>22</v>
      </c>
      <c r="P4" s="14">
        <v>0</v>
      </c>
      <c r="Q4" s="7" t="s">
        <v>23</v>
      </c>
      <c r="S4" s="8" t="s">
        <v>24</v>
      </c>
      <c r="T4" s="7">
        <v>0</v>
      </c>
      <c r="U4" s="18" t="str">
        <f>CONCATENATE("Acetato_A.Xfa_restart = (open.X_fa*Acetato_A.V_inoculum+",T4,"*Acetato_A.V_add)/Acetato_A.V_liq;")</f>
        <v>Acetato_A.Xfa_restart = (open.X_fa*Acetato_A.V_inoculum+0*Acetato_A.V_add)/Acetato_A.V_liq;</v>
      </c>
    </row>
    <row r="5" spans="1:21" ht="18" customHeight="1" x14ac:dyDescent="0.3">
      <c r="A5" s="5" t="s">
        <v>25</v>
      </c>
      <c r="B5" s="9">
        <f>1/0.16</f>
        <v>6.25</v>
      </c>
      <c r="C5" s="3" t="s">
        <v>26</v>
      </c>
      <c r="D5" s="7" t="s">
        <v>7</v>
      </c>
      <c r="G5" s="5" t="s">
        <v>27</v>
      </c>
      <c r="H5" s="12">
        <f>SUM(H2:H4)</f>
        <v>132</v>
      </c>
      <c r="I5" s="7" t="s">
        <v>9</v>
      </c>
      <c r="K5" s="8" t="s">
        <v>28</v>
      </c>
      <c r="L5" s="15">
        <v>174.99</v>
      </c>
      <c r="M5" s="7" t="s">
        <v>29</v>
      </c>
      <c r="N5" s="7"/>
      <c r="O5" s="8" t="s">
        <v>28</v>
      </c>
      <c r="P5" s="15">
        <v>0</v>
      </c>
      <c r="Q5" s="7" t="s">
        <v>29</v>
      </c>
      <c r="S5" s="8" t="s">
        <v>30</v>
      </c>
      <c r="T5" s="7">
        <v>0</v>
      </c>
      <c r="U5" s="18" t="str">
        <f>CONCATENATE("Acetato_A.Xc4_restart = (open.X_c4*Acetato_A.V_inoculum+",T5,"*Acetato_A.V_add)/Acetato_A.V_liq;")</f>
        <v>Acetato_A.Xc4_restart = (open.X_c4*Acetato_A.V_inoculum+0*Acetato_A.V_add)/Acetato_A.V_liq;</v>
      </c>
    </row>
    <row r="6" spans="1:21" ht="18" customHeight="1" x14ac:dyDescent="0.3">
      <c r="A6" s="2" t="s">
        <v>31</v>
      </c>
      <c r="B6" s="9">
        <v>2.83</v>
      </c>
      <c r="C6" s="3" t="s">
        <v>32</v>
      </c>
      <c r="D6" s="7" t="s">
        <v>7</v>
      </c>
      <c r="K6" s="8" t="s">
        <v>33</v>
      </c>
      <c r="L6" s="16">
        <v>63.36</v>
      </c>
      <c r="M6" s="7" t="s">
        <v>34</v>
      </c>
      <c r="N6" s="7"/>
      <c r="O6" s="8" t="s">
        <v>33</v>
      </c>
      <c r="P6" s="16">
        <v>0</v>
      </c>
      <c r="Q6" s="7" t="s">
        <v>34</v>
      </c>
      <c r="S6" s="8" t="s">
        <v>35</v>
      </c>
      <c r="T6" s="7">
        <v>0</v>
      </c>
      <c r="U6" s="18" t="str">
        <f>CONCATENATE("Acetato_A.Xpro_restart = (open.X_pro*Acetato_A.V_inoculum+",T6,"*Acetato_A.V_add)/Acetato_A.V_liq;")</f>
        <v>Acetato_A.Xpro_restart = (open.X_pro*Acetato_A.V_inoculum+0*Acetato_A.V_add)/Acetato_A.V_liq;</v>
      </c>
    </row>
    <row r="7" spans="1:21" ht="18" customHeight="1" x14ac:dyDescent="0.3">
      <c r="A7" s="8" t="s">
        <v>36</v>
      </c>
      <c r="B7" s="9">
        <f>273.15+25</f>
        <v>298.14999999999998</v>
      </c>
      <c r="C7" s="7" t="s">
        <v>37</v>
      </c>
      <c r="D7" s="7" t="s">
        <v>38</v>
      </c>
      <c r="K7" s="8" t="s">
        <v>39</v>
      </c>
      <c r="L7" s="15">
        <v>177.95</v>
      </c>
      <c r="M7" s="7" t="s">
        <v>40</v>
      </c>
      <c r="N7" s="7"/>
      <c r="O7" s="8" t="s">
        <v>39</v>
      </c>
      <c r="P7" s="15">
        <v>0</v>
      </c>
      <c r="Q7" s="7" t="s">
        <v>40</v>
      </c>
      <c r="S7" s="8" t="s">
        <v>41</v>
      </c>
      <c r="T7" s="7">
        <v>0</v>
      </c>
      <c r="U7" s="18" t="str">
        <f>CONCATENATE("Acetato_A.Xac_restart = (open.X_ac*Acetato_A.V_inoculum+",T7,"*Acetato_A.V_add)/Acetato_A.V_liq;")</f>
        <v>Acetato_A.Xac_restart = (open.X_ac*Acetato_A.V_inoculum+0*Acetato_A.V_add)/Acetato_A.V_liq;</v>
      </c>
    </row>
    <row r="8" spans="1:21" ht="18" customHeight="1" x14ac:dyDescent="0.3">
      <c r="A8" s="8" t="s">
        <v>42</v>
      </c>
      <c r="B8" s="9">
        <v>0.08</v>
      </c>
      <c r="C8" s="7" t="s">
        <v>43</v>
      </c>
      <c r="D8" s="7"/>
      <c r="G8" s="36" t="s">
        <v>44</v>
      </c>
      <c r="H8" s="36"/>
      <c r="I8" s="36"/>
      <c r="K8" s="8" t="s">
        <v>45</v>
      </c>
      <c r="L8" s="16">
        <v>0.75123364848484853</v>
      </c>
      <c r="M8" s="7" t="s">
        <v>46</v>
      </c>
      <c r="N8" s="7"/>
      <c r="O8" s="8" t="s">
        <v>45</v>
      </c>
      <c r="P8" s="16">
        <v>0</v>
      </c>
      <c r="Q8" s="7" t="s">
        <v>46</v>
      </c>
      <c r="S8" s="8" t="s">
        <v>47</v>
      </c>
      <c r="T8" s="7">
        <v>0</v>
      </c>
      <c r="U8" s="18" t="str">
        <f>CONCATENATE("Acetato_A.Xh2_restart = (open.X_h2*Acetato_A.V_inoculum+",T8,"*Acetato_A.V_add)/Acetato_A.V_liq;")</f>
        <v>Acetato_A.Xh2_restart = (open.X_h2*Acetato_A.V_inoculum+0*Acetato_A.V_add)/Acetato_A.V_liq;</v>
      </c>
    </row>
    <row r="9" spans="1:21" ht="18" customHeight="1" x14ac:dyDescent="0.3">
      <c r="A9" s="8" t="s">
        <v>48</v>
      </c>
      <c r="B9" s="17">
        <v>60</v>
      </c>
      <c r="C9" s="7" t="s">
        <v>49</v>
      </c>
      <c r="G9" s="8" t="s">
        <v>50</v>
      </c>
      <c r="H9" s="19">
        <f t="shared" ref="H9:H18" si="0">10^-B17</f>
        <v>1.7378008287493744E-5</v>
      </c>
      <c r="I9" s="7" t="s">
        <v>51</v>
      </c>
      <c r="K9" s="8" t="s">
        <v>52</v>
      </c>
      <c r="L9" s="16">
        <v>0.32682810810810808</v>
      </c>
      <c r="M9" s="7" t="s">
        <v>46</v>
      </c>
      <c r="N9" s="7"/>
      <c r="O9" s="8" t="s">
        <v>52</v>
      </c>
      <c r="P9" s="16">
        <v>0</v>
      </c>
      <c r="Q9" s="7" t="s">
        <v>46</v>
      </c>
      <c r="S9" s="8" t="s">
        <v>53</v>
      </c>
      <c r="T9" s="7">
        <v>0</v>
      </c>
      <c r="U9" s="18" t="str">
        <f>CONCATENATE("Acetato_A.Xc_restart = (open.X_c*Acetato_A.V_inoculum+",T9,"*Acetato_A.V_add)/Acetato_A.V_liq;")</f>
        <v>Acetato_A.Xc_restart = (open.X_c*Acetato_A.V_inoculum+0*Acetato_A.V_add)/Acetato_A.V_liq;</v>
      </c>
    </row>
    <row r="10" spans="1:21" ht="18" customHeight="1" x14ac:dyDescent="0.3">
      <c r="A10" s="8" t="s">
        <v>54</v>
      </c>
      <c r="B10" s="17">
        <v>74</v>
      </c>
      <c r="C10" s="7" t="s">
        <v>49</v>
      </c>
      <c r="G10" s="8" t="s">
        <v>55</v>
      </c>
      <c r="H10" s="19">
        <f t="shared" si="0"/>
        <v>1.3182567385564052E-5</v>
      </c>
      <c r="I10" s="7" t="s">
        <v>51</v>
      </c>
      <c r="K10" s="8" t="s">
        <v>56</v>
      </c>
      <c r="L10" s="16">
        <v>0.16090694214876031</v>
      </c>
      <c r="M10" s="7" t="s">
        <v>46</v>
      </c>
      <c r="N10" s="7"/>
      <c r="O10" s="8" t="s">
        <v>56</v>
      </c>
      <c r="P10" s="16">
        <v>0</v>
      </c>
      <c r="Q10" s="7" t="s">
        <v>46</v>
      </c>
      <c r="S10" s="8" t="s">
        <v>57</v>
      </c>
      <c r="T10" s="25">
        <f>(L28*$H$4/1000+P28*($H$2+$H$3)/1000)/($H$2+$H$3+$H$4)*1000</f>
        <v>0</v>
      </c>
      <c r="U10" s="18" t="str">
        <f>CONCATENATE("Acetato_A.Xi_restart = (open.X_i*Acetato_A.V_inoculum+",L27,"*Acetato_A.V_add)/Acetato_A.V_liq;")</f>
        <v>Acetato_A.Xi_restart = (open.X_i*Acetato_A.V_inoculum+0.679990625787034*Acetato_A.V_add)/Acetato_A.V_liq;</v>
      </c>
    </row>
    <row r="11" spans="1:21" ht="18" customHeight="1" x14ac:dyDescent="0.3">
      <c r="A11" s="8" t="s">
        <v>58</v>
      </c>
      <c r="B11" s="17">
        <v>88</v>
      </c>
      <c r="C11" s="7" t="s">
        <v>49</v>
      </c>
      <c r="G11" s="8" t="s">
        <v>59</v>
      </c>
      <c r="H11" s="19">
        <f t="shared" si="0"/>
        <v>1.5135612484362051E-5</v>
      </c>
      <c r="I11" s="7" t="s">
        <v>51</v>
      </c>
      <c r="K11" s="8" t="s">
        <v>60</v>
      </c>
      <c r="L11" s="16">
        <v>6.6481768270944749E-2</v>
      </c>
      <c r="M11" s="7" t="s">
        <v>46</v>
      </c>
      <c r="N11" s="7"/>
      <c r="O11" s="8" t="s">
        <v>60</v>
      </c>
      <c r="P11" s="16">
        <v>0</v>
      </c>
      <c r="Q11" s="7" t="s">
        <v>46</v>
      </c>
      <c r="S11" s="8" t="s">
        <v>61</v>
      </c>
      <c r="T11" s="25">
        <f>(L29*$H$4/1000+P29*($H$2+$H$3)/1000)/($H$2+$H$3+$H$4)*1000</f>
        <v>0</v>
      </c>
      <c r="U11" s="18" t="str">
        <f>CONCATENATE("Acetato_A.Xch1_restart = (open.X_ch[1]*Acetato_A.V_inoculum+",T11,"*Acetato_A.V_add)/Acetato_A.V_liq;")</f>
        <v>Acetato_A.Xch1_restart = (open.X_ch[1]*Acetato_A.V_inoculum+0*Acetato_A.V_add)/Acetato_A.V_liq;</v>
      </c>
    </row>
    <row r="12" spans="1:21" ht="18" customHeight="1" x14ac:dyDescent="0.3">
      <c r="A12" s="8" t="s">
        <v>62</v>
      </c>
      <c r="B12" s="17">
        <v>102</v>
      </c>
      <c r="C12" s="7" t="s">
        <v>49</v>
      </c>
      <c r="G12" s="8" t="s">
        <v>63</v>
      </c>
      <c r="H12" s="19">
        <f t="shared" si="0"/>
        <v>1.3803842646028827E-5</v>
      </c>
      <c r="I12" s="7" t="s">
        <v>51</v>
      </c>
      <c r="K12" s="8" t="s">
        <v>64</v>
      </c>
      <c r="L12" s="15">
        <v>72</v>
      </c>
      <c r="M12" s="7" t="s">
        <v>65</v>
      </c>
      <c r="N12" s="7"/>
      <c r="O12" s="8" t="s">
        <v>64</v>
      </c>
      <c r="P12" s="15">
        <v>0</v>
      </c>
      <c r="Q12" s="7" t="s">
        <v>65</v>
      </c>
      <c r="S12" s="8" t="s">
        <v>66</v>
      </c>
      <c r="T12" s="25">
        <f t="shared" ref="T12:T15" si="1">(L30*$H$4/1000+P30*($H$2+$H$3)/1000)/($H$2+$H$3+$H$4)*1000</f>
        <v>0</v>
      </c>
      <c r="U12" s="18" t="str">
        <f>CONCATENATE("Acetato_A.Xch2_restart = (open.X_ch[2]*Acetato_A.V_inoculum+",T12,"*Acetato_A.V_add)/Acetato_A.V_liq;")</f>
        <v>Acetato_A.Xch2_restart = (open.X_ch[2]*Acetato_A.V_inoculum+0*Acetato_A.V_add)/Acetato_A.V_liq;</v>
      </c>
    </row>
    <row r="13" spans="1:21" ht="18" customHeight="1" x14ac:dyDescent="0.3">
      <c r="A13" s="8" t="s">
        <v>67</v>
      </c>
      <c r="B13" s="17">
        <v>100</v>
      </c>
      <c r="C13" s="7" t="s">
        <v>49</v>
      </c>
      <c r="G13" s="8" t="s">
        <v>68</v>
      </c>
      <c r="H13" s="19">
        <f t="shared" si="0"/>
        <v>4.4668359215096327E-7</v>
      </c>
      <c r="I13" s="7" t="s">
        <v>51</v>
      </c>
      <c r="K13" s="8" t="s">
        <v>69</v>
      </c>
      <c r="L13" s="15">
        <v>31.5</v>
      </c>
      <c r="M13" s="7" t="s">
        <v>70</v>
      </c>
      <c r="N13" s="7"/>
      <c r="O13" s="8" t="s">
        <v>69</v>
      </c>
      <c r="P13" s="15">
        <v>0</v>
      </c>
      <c r="Q13" s="7" t="s">
        <v>70</v>
      </c>
      <c r="S13" s="8" t="s">
        <v>71</v>
      </c>
      <c r="T13" s="25">
        <f t="shared" si="1"/>
        <v>0</v>
      </c>
      <c r="U13" s="18" t="str">
        <f>CONCATENATE("Acetato_A.Xpr1_restart = (open.X_pr[1]*Acetato_A.V_inoculum+",T13,"*Acetato_A.V_add)/Acetato_A.V_liq;")</f>
        <v>Acetato_A.Xpr1_restart = (open.X_pr[1]*Acetato_A.V_inoculum+0*Acetato_A.V_add)/Acetato_A.V_liq;</v>
      </c>
    </row>
    <row r="14" spans="1:21" ht="18" customHeight="1" x14ac:dyDescent="0.3">
      <c r="A14" s="8" t="s">
        <v>72</v>
      </c>
      <c r="B14" s="17">
        <v>60</v>
      </c>
      <c r="C14" s="7" t="s">
        <v>49</v>
      </c>
      <c r="G14" s="8" t="s">
        <v>73</v>
      </c>
      <c r="H14" s="19">
        <f t="shared" si="0"/>
        <v>5.6234132519034889E-10</v>
      </c>
      <c r="I14" s="7" t="s">
        <v>51</v>
      </c>
      <c r="K14" s="8" t="s">
        <v>74</v>
      </c>
      <c r="L14" s="16">
        <v>5.6</v>
      </c>
      <c r="M14" s="7" t="s">
        <v>43</v>
      </c>
      <c r="N14" s="7"/>
      <c r="O14" s="8" t="s">
        <v>74</v>
      </c>
      <c r="P14" s="15">
        <v>7.5</v>
      </c>
      <c r="Q14" s="7" t="s">
        <v>43</v>
      </c>
      <c r="S14" s="8" t="s">
        <v>75</v>
      </c>
      <c r="T14" s="25">
        <f t="shared" si="1"/>
        <v>0</v>
      </c>
      <c r="U14" s="18" t="str">
        <f>CONCATENATE("Acetato_A.Xpr2_restart = (open.X_pr[2]*Acetato_A.V_inoculum+",T14,"*Acetato_A.V_add)/Acetato_A.V_liq;")</f>
        <v>Acetato_A.Xpr2_restart = (open.X_pr[2]*Acetato_A.V_inoculum+0*Acetato_A.V_add)/Acetato_A.V_liq;</v>
      </c>
    </row>
    <row r="15" spans="1:21" ht="18" customHeight="1" x14ac:dyDescent="0.3">
      <c r="A15" s="8" t="s">
        <v>76</v>
      </c>
      <c r="B15" s="17">
        <v>14</v>
      </c>
      <c r="C15" s="7" t="s">
        <v>49</v>
      </c>
      <c r="G15" s="8" t="s">
        <v>77</v>
      </c>
      <c r="H15" s="19">
        <f t="shared" si="0"/>
        <v>2.1379620895022253E-13</v>
      </c>
      <c r="I15" s="7" t="s">
        <v>51</v>
      </c>
      <c r="K15" s="8" t="s">
        <v>78</v>
      </c>
      <c r="L15" s="15">
        <v>2624</v>
      </c>
      <c r="M15" s="7" t="s">
        <v>79</v>
      </c>
      <c r="N15" s="7"/>
      <c r="O15" s="8" t="s">
        <v>78</v>
      </c>
      <c r="P15" s="15">
        <v>404.4</v>
      </c>
      <c r="Q15" s="7" t="s">
        <v>79</v>
      </c>
      <c r="S15" s="8" t="s">
        <v>80</v>
      </c>
      <c r="T15" s="25">
        <f t="shared" si="1"/>
        <v>0</v>
      </c>
      <c r="U15" s="18" t="str">
        <f>CONCATENATE("Acetato_A.Xli_restart = (open.X_li*Acetato_A.V_inoculum+",T15,"*Acetato_A.V_add)/Acetato_A.V_liq;")</f>
        <v>Acetato_A.Xli_restart = (open.X_li*Acetato_A.V_inoculum+0*Acetato_A.V_add)/Acetato_A.V_liq;</v>
      </c>
    </row>
    <row r="16" spans="1:21" ht="18" customHeight="1" x14ac:dyDescent="0.3">
      <c r="A16" s="8" t="s">
        <v>81</v>
      </c>
      <c r="B16" s="17">
        <v>31</v>
      </c>
      <c r="C16" s="7" t="s">
        <v>49</v>
      </c>
      <c r="G16" s="8" t="s">
        <v>82</v>
      </c>
      <c r="H16" s="19">
        <f t="shared" si="0"/>
        <v>6.1659500186148087E-8</v>
      </c>
      <c r="I16" s="7" t="s">
        <v>51</v>
      </c>
      <c r="K16" s="8" t="s">
        <v>83</v>
      </c>
      <c r="L16" s="15">
        <v>0.1</v>
      </c>
      <c r="M16" s="7" t="s">
        <v>43</v>
      </c>
      <c r="N16" s="7"/>
      <c r="O16" s="8" t="s">
        <v>83</v>
      </c>
      <c r="P16" s="15">
        <v>0</v>
      </c>
      <c r="Q16" s="7" t="s">
        <v>43</v>
      </c>
      <c r="S16" s="8" t="s">
        <v>84</v>
      </c>
      <c r="T16" s="7">
        <v>0</v>
      </c>
      <c r="U16" s="18" t="str">
        <f>CONCATENATE("Acetato_A.Xp_restart = (open.X_p*Acetato_A.V_inoculum+",T16,"*Acetato_A.V_add)/Acetato_A.V_liq;")</f>
        <v>Acetato_A.Xp_restart = (open.X_p*Acetato_A.V_inoculum+0*Acetato_A.V_add)/Acetato_A.V_liq;</v>
      </c>
    </row>
    <row r="17" spans="1:21" ht="18" customHeight="1" x14ac:dyDescent="0.3">
      <c r="A17" s="8" t="s">
        <v>85</v>
      </c>
      <c r="B17" s="17">
        <v>4.76</v>
      </c>
      <c r="C17" s="7" t="s">
        <v>43</v>
      </c>
      <c r="G17" s="8" t="s">
        <v>86</v>
      </c>
      <c r="H17" s="19">
        <f t="shared" si="0"/>
        <v>7.5857757502918299E-3</v>
      </c>
      <c r="I17" s="7" t="s">
        <v>51</v>
      </c>
      <c r="K17" s="8" t="s">
        <v>87</v>
      </c>
      <c r="L17" s="15">
        <v>0.8</v>
      </c>
      <c r="M17" s="7" t="s">
        <v>43</v>
      </c>
      <c r="N17" s="7"/>
      <c r="O17" s="8" t="s">
        <v>87</v>
      </c>
      <c r="P17" s="15">
        <v>0</v>
      </c>
      <c r="Q17" s="7" t="s">
        <v>43</v>
      </c>
      <c r="S17" s="8" t="s">
        <v>88</v>
      </c>
      <c r="T17" s="7">
        <v>0</v>
      </c>
      <c r="U17" s="18" t="str">
        <f>CONCATENATE("Acetato_A.Si_restart = (open.S_i*Acetato_A.V_inoculum+",T17,"*Acetato_A.V_add)/Acetato_A.V_liq;")</f>
        <v>Acetato_A.Si_restart = (open.S_i*Acetato_A.V_inoculum+0*Acetato_A.V_add)/Acetato_A.V_liq;</v>
      </c>
    </row>
    <row r="18" spans="1:21" ht="18" customHeight="1" x14ac:dyDescent="0.3">
      <c r="A18" s="8" t="s">
        <v>89</v>
      </c>
      <c r="B18" s="17">
        <v>4.88</v>
      </c>
      <c r="C18" s="7" t="s">
        <v>43</v>
      </c>
      <c r="G18" s="8" t="s">
        <v>90</v>
      </c>
      <c r="H18" s="19">
        <f t="shared" si="0"/>
        <v>1E-14</v>
      </c>
      <c r="I18" s="7" t="s">
        <v>91</v>
      </c>
      <c r="K18" s="8" t="s">
        <v>92</v>
      </c>
      <c r="L18" s="15">
        <f>1-L17-L16</f>
        <v>9.999999999999995E-2</v>
      </c>
      <c r="M18" s="7" t="s">
        <v>43</v>
      </c>
      <c r="N18" s="7"/>
      <c r="O18" s="8" t="s">
        <v>92</v>
      </c>
      <c r="P18" s="15">
        <v>0</v>
      </c>
      <c r="Q18" s="7" t="s">
        <v>43</v>
      </c>
      <c r="S18" s="8" t="s">
        <v>93</v>
      </c>
      <c r="T18" s="7">
        <v>0</v>
      </c>
      <c r="U18" s="18" t="str">
        <f>CONCATENATE("Acetato_A.Ssu_restart = (open.S_su*Acetato_A.V_inoculum+",T18,"*Acetato_A.V_add)/Acetato_A.V_liq;")</f>
        <v>Acetato_A.Ssu_restart = (open.S_su*Acetato_A.V_inoculum+0*Acetato_A.V_add)/Acetato_A.V_liq;</v>
      </c>
    </row>
    <row r="19" spans="1:21" ht="18" customHeight="1" x14ac:dyDescent="0.3">
      <c r="A19" s="8" t="s">
        <v>94</v>
      </c>
      <c r="B19" s="17">
        <v>4.82</v>
      </c>
      <c r="C19" s="7" t="s">
        <v>43</v>
      </c>
      <c r="K19" s="8" t="s">
        <v>95</v>
      </c>
      <c r="L19" s="15">
        <v>0.1</v>
      </c>
      <c r="M19" s="7" t="s">
        <v>43</v>
      </c>
      <c r="N19" s="7"/>
      <c r="O19" s="8" t="s">
        <v>95</v>
      </c>
      <c r="P19" s="15">
        <v>0</v>
      </c>
      <c r="Q19" s="7" t="s">
        <v>43</v>
      </c>
      <c r="S19" s="8" t="s">
        <v>93</v>
      </c>
      <c r="T19" s="7">
        <v>0</v>
      </c>
      <c r="U19" s="18" t="str">
        <f>CONCATENATE("Acetato_A.Saa_restart = (open.S_aa*Acetato_A.V_inoculum+",T19,"*Acetato_A.V_add)/Acetato_A.V_liq;")</f>
        <v>Acetato_A.Saa_restart = (open.S_aa*Acetato_A.V_inoculum+0*Acetato_A.V_add)/Acetato_A.V_liq;</v>
      </c>
    </row>
    <row r="20" spans="1:21" ht="18" customHeight="1" x14ac:dyDescent="0.3">
      <c r="A20" s="8" t="s">
        <v>96</v>
      </c>
      <c r="B20" s="17">
        <v>4.8600000000000003</v>
      </c>
      <c r="C20" s="7" t="s">
        <v>43</v>
      </c>
      <c r="K20" s="8" t="s">
        <v>97</v>
      </c>
      <c r="L20" s="15">
        <v>0.1</v>
      </c>
      <c r="M20" s="7" t="s">
        <v>43</v>
      </c>
      <c r="N20" s="7"/>
      <c r="O20" s="8" t="s">
        <v>97</v>
      </c>
      <c r="P20" s="15">
        <v>0</v>
      </c>
      <c r="Q20" s="7" t="s">
        <v>43</v>
      </c>
      <c r="S20" s="8" t="s">
        <v>98</v>
      </c>
      <c r="T20" s="7">
        <v>0</v>
      </c>
      <c r="U20" s="18" t="str">
        <f>CONCATENATE("Acetato_A.Sfa_restart = (open.S_fa*Acetato_A.V_inoculum+",T20,"*Acetato_A.V_add)/Acetato_A.V_liq;")</f>
        <v>Acetato_A.Sfa_restart = (open.S_fa*Acetato_A.V_inoculum+0*Acetato_A.V_add)/Acetato_A.V_liq;</v>
      </c>
    </row>
    <row r="21" spans="1:21" ht="18" customHeight="1" x14ac:dyDescent="0.3">
      <c r="A21" s="8" t="s">
        <v>99</v>
      </c>
      <c r="B21" s="17">
        <v>6.35</v>
      </c>
      <c r="C21" s="7" t="s">
        <v>43</v>
      </c>
      <c r="K21" s="7"/>
      <c r="L21" s="7"/>
      <c r="M21" s="7"/>
      <c r="N21" s="7"/>
      <c r="O21" s="7"/>
      <c r="P21" s="7"/>
      <c r="S21" s="8" t="s">
        <v>100</v>
      </c>
      <c r="T21" s="25">
        <f>(L11*$H$4/1000+P11*($H$2+$H$3)/1000)/($H$2+$H$3+$H$4)*1000</f>
        <v>0</v>
      </c>
      <c r="U21" s="18" t="str">
        <f>CONCATENATE("Acetato_A.Sva_restart = (open.S_va*Acetato_A.V_inoculum+",T21,"*Acetato_A.V_add)/Acetato_A.V_liq;")</f>
        <v>Acetato_A.Sva_restart = (open.S_va*Acetato_A.V_inoculum+0*Acetato_A.V_add)/Acetato_A.V_liq;</v>
      </c>
    </row>
    <row r="22" spans="1:21" ht="18" customHeight="1" x14ac:dyDescent="0.3">
      <c r="A22" s="8" t="s">
        <v>101</v>
      </c>
      <c r="B22" s="17">
        <v>9.25</v>
      </c>
      <c r="C22" s="7" t="s">
        <v>43</v>
      </c>
      <c r="K22" s="36" t="s">
        <v>102</v>
      </c>
      <c r="L22" s="36"/>
      <c r="M22" s="36"/>
      <c r="N22" s="7"/>
      <c r="O22" s="36" t="s">
        <v>103</v>
      </c>
      <c r="P22" s="36"/>
      <c r="Q22" s="36"/>
      <c r="S22" s="8" t="s">
        <v>104</v>
      </c>
      <c r="T22" s="25">
        <f>(L10*$H$4/1000+P10*($H$2+$H$3)/1000)/($H$2+$H$3+$H$4)*1000</f>
        <v>0</v>
      </c>
      <c r="U22" s="18" t="str">
        <f>CONCATENATE("Acetato_A.Sbu_restart = (open.S_bu*Acetato_A.V_inoculum+",T22,"*Acetato_A.V_add)/Acetato_A.V_liq;")</f>
        <v>Acetato_A.Sbu_restart = (open.S_bu*Acetato_A.V_inoculum+0*Acetato_A.V_add)/Acetato_A.V_liq;</v>
      </c>
    </row>
    <row r="23" spans="1:21" ht="18" customHeight="1" x14ac:dyDescent="0.3">
      <c r="A23" s="8" t="s">
        <v>105</v>
      </c>
      <c r="B23" s="17">
        <v>12.67</v>
      </c>
      <c r="C23" s="7" t="s">
        <v>43</v>
      </c>
      <c r="E23" s="7"/>
      <c r="F23" s="7"/>
      <c r="G23" s="7"/>
      <c r="H23" s="7"/>
      <c r="I23" s="7"/>
      <c r="K23" s="8" t="s">
        <v>106</v>
      </c>
      <c r="L23" s="13">
        <f>$L$5*$L$3*$L$4/1000/1000*$B$2</f>
        <v>4.1466458216398632</v>
      </c>
      <c r="M23" s="7" t="s">
        <v>107</v>
      </c>
      <c r="N23" s="7"/>
      <c r="O23" s="8" t="s">
        <v>106</v>
      </c>
      <c r="P23" s="13">
        <f>$P$5*$P$3*$P$4/1000/1000*$B$2</f>
        <v>0</v>
      </c>
      <c r="Q23" s="7" t="s">
        <v>107</v>
      </c>
      <c r="S23" s="8" t="s">
        <v>108</v>
      </c>
      <c r="T23" s="25">
        <f>(L9*$H$4/1000+P9*($H$2+$H$3)/1000)/($H$2+$H$3+$H$4)*1000</f>
        <v>0</v>
      </c>
      <c r="U23" s="18" t="str">
        <f>CONCATENATE("Acetato_A.Spro_restart = (open.S_pro*Acetato_A.V_inoculum+",T23,"*Acetato_A.V_add)/Acetato_A.V_liq;")</f>
        <v>Acetato_A.Spro_restart = (open.S_pro*Acetato_A.V_inoculum+0*Acetato_A.V_add)/Acetato_A.V_liq;</v>
      </c>
    </row>
    <row r="24" spans="1:21" ht="18" customHeight="1" x14ac:dyDescent="0.3">
      <c r="A24" s="8" t="s">
        <v>109</v>
      </c>
      <c r="B24" s="17">
        <v>7.21</v>
      </c>
      <c r="C24" s="7" t="s">
        <v>43</v>
      </c>
      <c r="E24" s="7"/>
      <c r="F24" s="7"/>
      <c r="G24" s="7"/>
      <c r="H24" s="7"/>
      <c r="I24" s="7"/>
      <c r="K24" s="8" t="s">
        <v>110</v>
      </c>
      <c r="L24" s="13">
        <f>$L$6*L3*$L$4/1000/1000*B4*B5</f>
        <v>13.459892906818752</v>
      </c>
      <c r="M24" s="7" t="s">
        <v>107</v>
      </c>
      <c r="N24" s="7"/>
      <c r="O24" s="8" t="s">
        <v>110</v>
      </c>
      <c r="P24" s="13">
        <f>$P$6*P3*$P$4/1000/1000*B4*B5</f>
        <v>0</v>
      </c>
      <c r="Q24" s="7" t="s">
        <v>107</v>
      </c>
      <c r="S24" s="8" t="s">
        <v>111</v>
      </c>
      <c r="T24" s="25">
        <f>(L8*$H$4/1000+P8*($H$2+$H$3)/1000)/($H$2+$H$3+$H$4)*1000</f>
        <v>0</v>
      </c>
      <c r="U24" s="18" t="str">
        <f>CONCATENATE("Acetato_A.Sac_restart = (open.S_ac*Acetato_A.V_inoculum+",T24,"*Acetato_A.V_add)/Acetato_A.V_liq;")</f>
        <v>Acetato_A.Sac_restart = (open.S_ac*Acetato_A.V_inoculum+0*Acetato_A.V_add)/Acetato_A.V_liq;</v>
      </c>
    </row>
    <row r="25" spans="1:21" ht="18" customHeight="1" x14ac:dyDescent="0.3">
      <c r="A25" s="8" t="s">
        <v>112</v>
      </c>
      <c r="B25" s="17">
        <v>2.12</v>
      </c>
      <c r="C25" s="7" t="s">
        <v>43</v>
      </c>
      <c r="E25" s="7"/>
      <c r="F25" s="7"/>
      <c r="G25" s="7"/>
      <c r="H25" s="7"/>
      <c r="I25" s="7"/>
      <c r="K25" s="8" t="s">
        <v>113</v>
      </c>
      <c r="L25" s="13">
        <f>$L$7*L3*$L$4/1000/1000*B6</f>
        <v>11.18766402263577</v>
      </c>
      <c r="M25" s="7" t="s">
        <v>107</v>
      </c>
      <c r="N25" s="7"/>
      <c r="O25" s="8" t="s">
        <v>113</v>
      </c>
      <c r="P25" s="13">
        <f>$P$7*P3*$P$4/1000/1000*B6</f>
        <v>0</v>
      </c>
      <c r="Q25" s="7" t="s">
        <v>107</v>
      </c>
      <c r="S25" s="8" t="s">
        <v>114</v>
      </c>
      <c r="T25" s="7">
        <v>0</v>
      </c>
      <c r="U25" s="18" t="str">
        <f>CONCATENATE("Acetato_A.Sh2_restart = (open.S_h2*Acetato_A.V_inoculum+",T25,"*Acetato_A.V_add)/Acetato_A.V_liq;")</f>
        <v>Acetato_A.Sh2_restart = (open.S_h2*Acetato_A.V_inoculum+0*Acetato_A.V_add)/Acetato_A.V_liq;</v>
      </c>
    </row>
    <row r="26" spans="1:21" ht="18" customHeight="1" x14ac:dyDescent="0.3">
      <c r="A26" s="8" t="s">
        <v>115</v>
      </c>
      <c r="B26" s="17">
        <v>14</v>
      </c>
      <c r="C26" s="7" t="s">
        <v>43</v>
      </c>
      <c r="E26" s="7"/>
      <c r="F26" s="7"/>
      <c r="G26" s="7"/>
      <c r="H26" s="7"/>
      <c r="I26" s="7"/>
      <c r="K26" s="8" t="s">
        <v>116</v>
      </c>
      <c r="L26" s="13">
        <f>IF(L3=0,0,SUM(L23:L25,L8:L11))</f>
        <v>30.099653218107047</v>
      </c>
      <c r="M26" s="7" t="s">
        <v>107</v>
      </c>
      <c r="N26" s="7"/>
      <c r="O26" s="8" t="s">
        <v>116</v>
      </c>
      <c r="P26" s="13">
        <f>IF(P3=0,0,SUM(P23:P25,P8:P11))</f>
        <v>0</v>
      </c>
      <c r="Q26" s="7" t="s">
        <v>107</v>
      </c>
      <c r="S26" s="8" t="s">
        <v>117</v>
      </c>
      <c r="T26" s="7">
        <v>0</v>
      </c>
      <c r="U26" s="18" t="str">
        <f>CONCATENATE("Acetato_A.Sch4_restart = (open.S_ch4*Acetato_A.V_inoculum+",T26,"*Acetato_A.V_add)/Acetato_A.V_liq;")</f>
        <v>Acetato_A.Sch4_restart = (open.S_ch4*Acetato_A.V_inoculum+0*Acetato_A.V_add)/Acetato_A.V_liq;</v>
      </c>
    </row>
    <row r="27" spans="1:21" ht="18" customHeight="1" x14ac:dyDescent="0.3">
      <c r="A27" s="8" t="s">
        <v>118</v>
      </c>
      <c r="B27" s="17">
        <v>64</v>
      </c>
      <c r="C27" s="7" t="s">
        <v>119</v>
      </c>
      <c r="E27" s="7"/>
      <c r="F27" s="7"/>
      <c r="G27" s="7"/>
      <c r="H27" s="7"/>
      <c r="I27" s="7"/>
      <c r="K27" s="8" t="s">
        <v>120</v>
      </c>
      <c r="L27" s="13">
        <f>IF(L3=0,0,$L$2*$L$3*$L$4/1000/$L$26/(350*(1-$B$8)))</f>
        <v>0.67999062578703362</v>
      </c>
      <c r="M27" s="7" t="s">
        <v>43</v>
      </c>
      <c r="N27" s="7"/>
      <c r="O27" s="8" t="s">
        <v>120</v>
      </c>
      <c r="P27" s="13">
        <f>IF(P3=0,0,$P$2*$P$3*$P$4/1000/$P$26/(350*(1-$B$8)))</f>
        <v>0</v>
      </c>
      <c r="Q27" s="7" t="s">
        <v>43</v>
      </c>
      <c r="S27" s="8" t="s">
        <v>121</v>
      </c>
      <c r="T27" s="25">
        <f>(L54*$H$4/1000+P54*($H$2+$H$3)/1000)/($H$2+$H$3+$H$4)*1000</f>
        <v>8.660281796930229E-3</v>
      </c>
      <c r="U27" s="18" t="str">
        <f>CONCATENATE("Acetato_A.Sic_restart = (open.S_ic*Acetato_A.V_inoculum+",T27,"*Acetato_A.V_add)/Acetato_A.V_liq;")</f>
        <v>Acetato_A.Sic_restart = (open.S_ic*Acetato_A.V_inoculum+0.00866028179693023*Acetato_A.V_add)/Acetato_A.V_liq;</v>
      </c>
    </row>
    <row r="28" spans="1:21" ht="18" customHeight="1" x14ac:dyDescent="0.3">
      <c r="A28" s="8" t="s">
        <v>122</v>
      </c>
      <c r="B28" s="17">
        <v>112</v>
      </c>
      <c r="C28" s="7" t="s">
        <v>119</v>
      </c>
      <c r="E28" s="7"/>
      <c r="F28" s="7"/>
      <c r="G28" s="7"/>
      <c r="H28" s="7"/>
      <c r="I28" s="7"/>
      <c r="K28" s="8" t="s">
        <v>57</v>
      </c>
      <c r="L28" s="26">
        <f>(1-$L$27)*$L$26</f>
        <v>9.6321711903537359</v>
      </c>
      <c r="M28" s="7" t="s">
        <v>107</v>
      </c>
      <c r="O28" s="8" t="s">
        <v>57</v>
      </c>
      <c r="P28" s="26">
        <f>(1-$P$27)*$P$26</f>
        <v>0</v>
      </c>
      <c r="Q28" s="7" t="s">
        <v>107</v>
      </c>
      <c r="S28" s="22" t="s">
        <v>123</v>
      </c>
      <c r="T28" s="25">
        <f>(L44*$H$4/1000+P44*($H$2+$H$3)/1000)/($H$2+$H$3+$H$4)*1000</f>
        <v>0</v>
      </c>
      <c r="U28" s="18" t="str">
        <f>CONCATENATE("Acetato_A.Sin_restart = (open.S_in*Acetato_A.V_inoculum+",T28,"*Acetato_A.V_add)/Acetato_A.V_liq;")</f>
        <v>Acetato_A.Sin_restart = (open.S_in*Acetato_A.V_inoculum+0*Acetato_A.V_add)/Acetato_A.V_liq;</v>
      </c>
    </row>
    <row r="29" spans="1:21" ht="18" customHeight="1" x14ac:dyDescent="0.3">
      <c r="A29" s="8" t="s">
        <v>124</v>
      </c>
      <c r="B29" s="17">
        <v>160</v>
      </c>
      <c r="C29" s="7" t="s">
        <v>119</v>
      </c>
      <c r="E29" s="7"/>
      <c r="F29" s="7"/>
      <c r="G29" s="7"/>
      <c r="H29" s="7"/>
      <c r="I29" s="7"/>
      <c r="K29" s="8" t="s">
        <v>61</v>
      </c>
      <c r="L29" s="26">
        <f>(1-$L$19)*($L$23-$L$28*$L$16)</f>
        <v>2.8650858323440405</v>
      </c>
      <c r="M29" s="7" t="s">
        <v>107</v>
      </c>
      <c r="O29" s="8" t="s">
        <v>61</v>
      </c>
      <c r="P29" s="26">
        <f>(1-$P$19)*($P$23-$P$28*$P$16)</f>
        <v>0</v>
      </c>
      <c r="Q29" s="7" t="s">
        <v>107</v>
      </c>
      <c r="S29" s="8" t="s">
        <v>125</v>
      </c>
      <c r="T29" s="25">
        <f>(L47*$H$4/1000+P47*($H$2+$H$3)/1000)/($H$2+$H$3+$H$4)*1000</f>
        <v>0</v>
      </c>
      <c r="U29" s="18" t="str">
        <f>CONCATENATE("Acetato_A.Sip_restart = (open.S_ip*Acetato_A.V_inoculum+",T29,"*Acetato_A.V_add)/Acetato_A.V_liq;")</f>
        <v>Acetato_A.Sip_restart = (open.S_ip*Acetato_A.V_inoculum+0*Acetato_A.V_add)/Acetato_A.V_liq;</v>
      </c>
    </row>
    <row r="30" spans="1:21" ht="18" customHeight="1" x14ac:dyDescent="0.3">
      <c r="A30" s="8" t="s">
        <v>126</v>
      </c>
      <c r="B30" s="17">
        <v>208</v>
      </c>
      <c r="C30" s="7" t="s">
        <v>119</v>
      </c>
      <c r="K30" s="8" t="s">
        <v>66</v>
      </c>
      <c r="L30" s="26">
        <f>($L$19)*($L$23-$L$28*$L$16)</f>
        <v>0.31834287026044894</v>
      </c>
      <c r="M30" s="7" t="s">
        <v>107</v>
      </c>
      <c r="O30" s="8" t="s">
        <v>66</v>
      </c>
      <c r="P30" s="26">
        <f>($P$19)*($P$23-$P$28*$P$16)</f>
        <v>0</v>
      </c>
      <c r="Q30" s="7" t="s">
        <v>107</v>
      </c>
      <c r="S30" s="8" t="s">
        <v>127</v>
      </c>
      <c r="T30" s="21">
        <f>N80</f>
        <v>2.8088010000000004E-2</v>
      </c>
      <c r="U30" s="18" t="str">
        <f>CONCATENATE("Acetato_A.Scat_restart = (open.S_cat*Acetato_A.V_inoculum+",T30,"*Acetato_A.V_add)/Acetato_A.V_liq;")</f>
        <v>Acetato_A.Scat_restart = (open.S_cat*Acetato_A.V_inoculum+0.02808801*Acetato_A.V_add)/Acetato_A.V_liq;</v>
      </c>
    </row>
    <row r="31" spans="1:21" ht="18" customHeight="1" x14ac:dyDescent="0.3">
      <c r="K31" s="8" t="s">
        <v>71</v>
      </c>
      <c r="L31" s="26">
        <f>(1-$L$20)*($L$24-$L$28*$L$17)</f>
        <v>5.1787403590821866</v>
      </c>
      <c r="M31" s="7" t="s">
        <v>107</v>
      </c>
      <c r="O31" s="8" t="s">
        <v>71</v>
      </c>
      <c r="P31" s="26">
        <f>(1-$P$20)*($P$24-$P$28*$P$17)</f>
        <v>0</v>
      </c>
      <c r="Q31" s="7" t="s">
        <v>107</v>
      </c>
      <c r="S31" s="8" t="s">
        <v>128</v>
      </c>
      <c r="T31" s="30">
        <v>0</v>
      </c>
      <c r="U31" s="18" t="str">
        <f>CONCATENATE("Acetato_A.Sca_restart = (open.S_ca*Acetato_A.V_inoculum+",T31,"*Acetato_A.V_add)/Acetato_A.V_liq;")</f>
        <v>Acetato_A.Sca_restart = (open.S_ca*Acetato_A.V_inoculum+0*Acetato_A.V_add)/Acetato_A.V_liq;</v>
      </c>
    </row>
    <row r="32" spans="1:21" ht="18" customHeight="1" x14ac:dyDescent="0.3">
      <c r="K32" s="8" t="s">
        <v>75</v>
      </c>
      <c r="L32" s="26">
        <f>($L$20)*($L$24-$L$28*$L$17)</f>
        <v>0.57541559545357623</v>
      </c>
      <c r="M32" s="7" t="s">
        <v>107</v>
      </c>
      <c r="O32" s="8" t="s">
        <v>75</v>
      </c>
      <c r="P32" s="26">
        <f>($P$20)*($P$24-$P$28*$P$17)</f>
        <v>0</v>
      </c>
      <c r="Q32" s="7" t="s">
        <v>107</v>
      </c>
      <c r="S32" s="8" t="s">
        <v>129</v>
      </c>
      <c r="T32" s="30">
        <v>0</v>
      </c>
      <c r="U32" s="18" t="str">
        <f>CONCATENATE("Acetato_A.Smg_restart = (open.S_mg*Acetato_A.V_inoculum+",T32,"*Acetato_A.V_add)/Acetato_A.V_liq;")</f>
        <v>Acetato_A.Smg_restart = (open.S_mg*Acetato_A.V_inoculum+0*Acetato_A.V_add)/Acetato_A.V_liq;</v>
      </c>
    </row>
    <row r="33" spans="1:21" ht="18" customHeight="1" x14ac:dyDescent="0.3">
      <c r="K33" s="8" t="s">
        <v>80</v>
      </c>
      <c r="L33" s="26">
        <f>($L$25-$L$28*$L$18)</f>
        <v>10.224446903600397</v>
      </c>
      <c r="M33" s="7" t="s">
        <v>107</v>
      </c>
      <c r="O33" s="8" t="s">
        <v>80</v>
      </c>
      <c r="P33" s="26">
        <f>($P$25-$P$28*$P$18)</f>
        <v>0</v>
      </c>
      <c r="Q33" s="7" t="s">
        <v>107</v>
      </c>
      <c r="S33" s="8" t="s">
        <v>130</v>
      </c>
      <c r="T33" s="21">
        <f>N79</f>
        <v>0.02</v>
      </c>
      <c r="U33" s="18" t="str">
        <f>CONCATENATE("Acetato_A.San_restart = (open.S_an*Acetato_A.V_inoculum+",T33,"*Acetato_A.V_add)/Acetato_A.V_liq;")</f>
        <v>Acetato_A.San_restart = (open.S_an*Acetato_A.V_inoculum+0.02*Acetato_A.V_add)/Acetato_A.V_liq;</v>
      </c>
    </row>
    <row r="34" spans="1:21" ht="18" customHeight="1" x14ac:dyDescent="0.3">
      <c r="K34" s="8" t="s">
        <v>100</v>
      </c>
      <c r="L34" s="13">
        <f>L11</f>
        <v>6.6481768270944749E-2</v>
      </c>
      <c r="M34" s="7" t="s">
        <v>107</v>
      </c>
      <c r="O34" s="8" t="s">
        <v>100</v>
      </c>
      <c r="P34" s="13">
        <f>P11</f>
        <v>0</v>
      </c>
      <c r="Q34" s="7" t="s">
        <v>107</v>
      </c>
      <c r="S34" s="8" t="s">
        <v>131</v>
      </c>
      <c r="T34" s="7">
        <v>0</v>
      </c>
      <c r="U34" s="18" t="str">
        <f>CONCATENATE("Acetato_A.ash_restart = (open.ash*Acetato_A.V_inoculum+",T34,"*Acetato_A.V_add)/Acetato_A.V_liq;")</f>
        <v>Acetato_A.ash_restart = (open.ash*Acetato_A.V_inoculum+0*Acetato_A.V_add)/Acetato_A.V_liq;</v>
      </c>
    </row>
    <row r="35" spans="1:21" ht="18" customHeight="1" x14ac:dyDescent="0.3">
      <c r="A35" s="2"/>
      <c r="K35" s="8" t="s">
        <v>104</v>
      </c>
      <c r="L35" s="13">
        <f>L10</f>
        <v>0.16090694214876031</v>
      </c>
      <c r="M35" s="7" t="s">
        <v>107</v>
      </c>
      <c r="O35" s="8" t="s">
        <v>104</v>
      </c>
      <c r="P35" s="13">
        <f>P10</f>
        <v>0</v>
      </c>
      <c r="Q35" s="7" t="s">
        <v>107</v>
      </c>
      <c r="S35" s="8" t="s">
        <v>132</v>
      </c>
      <c r="T35" s="7">
        <v>0</v>
      </c>
      <c r="U35" s="18" t="str">
        <f>CONCATENATE("Acetato_A.Xlig_restart = (open.X_lig*Acetato_A.V_inoculum+",T35,"*Acetato_A.V_add)/Acetato_A.V_liq;")</f>
        <v>Acetato_A.Xlig_restart = (open.X_lig*Acetato_A.V_inoculum+0*Acetato_A.V_add)/Acetato_A.V_liq;</v>
      </c>
    </row>
    <row r="36" spans="1:21" ht="18" customHeight="1" x14ac:dyDescent="0.3">
      <c r="K36" s="8" t="s">
        <v>108</v>
      </c>
      <c r="L36" s="13">
        <f>L9</f>
        <v>0.32682810810810808</v>
      </c>
      <c r="M36" s="7" t="s">
        <v>107</v>
      </c>
      <c r="O36" s="8" t="s">
        <v>108</v>
      </c>
      <c r="P36" s="13">
        <f>P9</f>
        <v>0</v>
      </c>
      <c r="Q36" s="7" t="s">
        <v>107</v>
      </c>
    </row>
    <row r="37" spans="1:21" ht="18" customHeight="1" x14ac:dyDescent="0.3">
      <c r="K37" s="8" t="s">
        <v>111</v>
      </c>
      <c r="L37" s="13">
        <f>L8</f>
        <v>0.75123364848484853</v>
      </c>
      <c r="M37" s="7" t="s">
        <v>107</v>
      </c>
      <c r="O37" s="8" t="s">
        <v>111</v>
      </c>
      <c r="P37" s="13">
        <f>P8</f>
        <v>0</v>
      </c>
      <c r="Q37" s="7" t="s">
        <v>107</v>
      </c>
    </row>
    <row r="38" spans="1:21" ht="18" customHeight="1" x14ac:dyDescent="0.3">
      <c r="K38" s="2" t="s">
        <v>133</v>
      </c>
      <c r="L38" s="20">
        <f>IF(L14=0,0,(10^(-L14)))</f>
        <v>2.5118864315095806E-6</v>
      </c>
      <c r="M38" s="1" t="s">
        <v>51</v>
      </c>
      <c r="O38" s="2" t="s">
        <v>133</v>
      </c>
      <c r="P38" s="20">
        <f>IF(P14=0,0,(10^(-P14)))</f>
        <v>3.1622776601683699E-8</v>
      </c>
      <c r="Q38" s="1" t="s">
        <v>51</v>
      </c>
    </row>
    <row r="39" spans="1:21" ht="18" customHeight="1" x14ac:dyDescent="0.3">
      <c r="K39" s="2" t="s">
        <v>134</v>
      </c>
      <c r="L39" s="20">
        <f>IF(L14=0,0,$H$18/L38)</f>
        <v>3.9810717055349714E-9</v>
      </c>
      <c r="M39" s="1" t="s">
        <v>51</v>
      </c>
      <c r="O39" s="2" t="s">
        <v>134</v>
      </c>
      <c r="P39" s="20">
        <f>IF(P14=0,0,$H$18/P38)</f>
        <v>3.1622776601683887E-7</v>
      </c>
      <c r="Q39" s="1" t="s">
        <v>51</v>
      </c>
    </row>
    <row r="40" spans="1:21" ht="18" customHeight="1" x14ac:dyDescent="0.3">
      <c r="A40" s="8"/>
      <c r="K40" s="2" t="s">
        <v>135</v>
      </c>
      <c r="L40" s="20">
        <f>L8/$B$27*$H$9/(L38+$H$9)</f>
        <v>1.0255635425715722E-2</v>
      </c>
      <c r="M40" s="1" t="s">
        <v>51</v>
      </c>
      <c r="O40" s="2" t="s">
        <v>135</v>
      </c>
      <c r="P40" s="20">
        <f>P8/$B$27*$H$9/(P38+$H$9)</f>
        <v>0</v>
      </c>
      <c r="Q40" s="1" t="s">
        <v>51</v>
      </c>
    </row>
    <row r="41" spans="1:21" ht="18" customHeight="1" x14ac:dyDescent="0.3">
      <c r="K41" s="2" t="s">
        <v>136</v>
      </c>
      <c r="L41" s="20">
        <f>L9/$B$28*$H$10/(L38+$H$10)</f>
        <v>2.4510669324247108E-3</v>
      </c>
      <c r="M41" s="1" t="s">
        <v>51</v>
      </c>
      <c r="O41" s="2" t="s">
        <v>136</v>
      </c>
      <c r="P41" s="20">
        <f>P9/$B$28*$H$10/(P38+$H$10)</f>
        <v>0</v>
      </c>
      <c r="Q41" s="1" t="s">
        <v>51</v>
      </c>
    </row>
    <row r="42" spans="1:21" ht="18" customHeight="1" x14ac:dyDescent="0.3">
      <c r="K42" s="2" t="s">
        <v>137</v>
      </c>
      <c r="L42" s="20">
        <f>L10/$B$29*$H$11/(L38+$H$11)</f>
        <v>8.6252488738536987E-4</v>
      </c>
      <c r="M42" s="1" t="s">
        <v>51</v>
      </c>
      <c r="O42" s="2" t="s">
        <v>137</v>
      </c>
      <c r="P42" s="20">
        <f>P10/$B$29*$H$11/(P38+$H$11)</f>
        <v>0</v>
      </c>
      <c r="Q42" s="1" t="s">
        <v>51</v>
      </c>
    </row>
    <row r="43" spans="1:21" ht="18" customHeight="1" x14ac:dyDescent="0.3">
      <c r="K43" s="2" t="s">
        <v>138</v>
      </c>
      <c r="L43" s="20">
        <f>L11/$B$30*$H$12/(L38+$H$12)</f>
        <v>2.7041622266199365E-4</v>
      </c>
      <c r="M43" s="1" t="s">
        <v>51</v>
      </c>
      <c r="O43" s="2" t="s">
        <v>138</v>
      </c>
      <c r="P43" s="20">
        <f>P11/$B$30*$H$12/(P38+$H$12)</f>
        <v>0</v>
      </c>
      <c r="Q43" s="1" t="s">
        <v>51</v>
      </c>
    </row>
    <row r="44" spans="1:21" ht="18" customHeight="1" x14ac:dyDescent="0.3">
      <c r="K44" s="2" t="s">
        <v>123</v>
      </c>
      <c r="L44" s="20">
        <f>L12/$B$15/1000</f>
        <v>5.1428571428571435E-3</v>
      </c>
      <c r="M44" s="1" t="s">
        <v>51</v>
      </c>
      <c r="O44" s="2" t="s">
        <v>123</v>
      </c>
      <c r="P44" s="20">
        <f>P12/$B$15/1000</f>
        <v>0</v>
      </c>
      <c r="Q44" s="1" t="s">
        <v>51</v>
      </c>
    </row>
    <row r="45" spans="1:21" ht="18" customHeight="1" x14ac:dyDescent="0.3">
      <c r="K45" s="2" t="s">
        <v>139</v>
      </c>
      <c r="L45" s="20">
        <f>L44*L38/($H$14+L38)</f>
        <v>5.1417060582530519E-3</v>
      </c>
      <c r="M45" s="1" t="s">
        <v>51</v>
      </c>
      <c r="O45" s="2" t="s">
        <v>139</v>
      </c>
      <c r="P45" s="20">
        <f>P44*P38/($H$14+P38)</f>
        <v>0</v>
      </c>
      <c r="Q45" s="1" t="s">
        <v>51</v>
      </c>
    </row>
    <row r="46" spans="1:21" ht="18" customHeight="1" x14ac:dyDescent="0.3">
      <c r="K46" s="2" t="s">
        <v>140</v>
      </c>
      <c r="L46" s="20">
        <f>L44-L45</f>
        <v>1.1510846040915443E-6</v>
      </c>
      <c r="M46" s="1" t="s">
        <v>51</v>
      </c>
      <c r="O46" s="2" t="s">
        <v>140</v>
      </c>
      <c r="P46" s="20">
        <f>P44-P45</f>
        <v>0</v>
      </c>
      <c r="Q46" s="1" t="s">
        <v>51</v>
      </c>
    </row>
    <row r="47" spans="1:21" ht="18" customHeight="1" x14ac:dyDescent="0.3">
      <c r="K47" s="2" t="s">
        <v>125</v>
      </c>
      <c r="L47" s="20">
        <f>L13/$B$16/1000</f>
        <v>1.0161290322580644E-3</v>
      </c>
      <c r="M47" s="6" t="s">
        <v>51</v>
      </c>
      <c r="O47" s="2" t="s">
        <v>125</v>
      </c>
      <c r="P47" s="20">
        <f>P13/$B$16/1000</f>
        <v>0</v>
      </c>
      <c r="Q47" s="6" t="s">
        <v>51</v>
      </c>
    </row>
    <row r="48" spans="1:21" ht="18" customHeight="1" x14ac:dyDescent="0.3">
      <c r="K48" s="2" t="s">
        <v>141</v>
      </c>
      <c r="L48" s="20">
        <f>$H$15*L47/($H$15+L38+L38^2/$H$16+L38^3/($H$16*$H$17))</f>
        <v>2.0714602078681818E-12</v>
      </c>
      <c r="M48" s="6" t="s">
        <v>51</v>
      </c>
      <c r="O48" s="2" t="s">
        <v>141</v>
      </c>
      <c r="P48" s="20">
        <f>$H$15*P47/($H$15+P38+P38^2/$H$16+P38^3/($H$16*$H$17))</f>
        <v>0</v>
      </c>
      <c r="Q48" s="6" t="s">
        <v>51</v>
      </c>
    </row>
    <row r="49" spans="11:17" ht="18" customHeight="1" x14ac:dyDescent="0.3">
      <c r="K49" s="2" t="s">
        <v>142</v>
      </c>
      <c r="L49" s="27">
        <f>$H$16*L47/($H$15*$H$16/L38+$H$16+L38+(L38^2)/$H$17)</f>
        <v>2.4337535333788652E-5</v>
      </c>
      <c r="M49" s="6" t="s">
        <v>51</v>
      </c>
      <c r="O49" s="2" t="s">
        <v>142</v>
      </c>
      <c r="P49" s="20">
        <f>$H$16*P47/($H$15*$H$16/P38+$H$16+P38+(P38^2)/$H$17)</f>
        <v>0</v>
      </c>
      <c r="Q49" s="6" t="s">
        <v>51</v>
      </c>
    </row>
    <row r="50" spans="11:17" ht="18" customHeight="1" x14ac:dyDescent="0.3">
      <c r="K50" s="2" t="s">
        <v>143</v>
      </c>
      <c r="L50" s="27">
        <f>L47*$H$17/(L38+$H$17+$H$17*$H$16/L38+$H$17*$H$16*$H$15/(L38^2))</f>
        <v>9.9146319053462534E-4</v>
      </c>
      <c r="M50" s="6" t="s">
        <v>51</v>
      </c>
      <c r="O50" s="2" t="s">
        <v>143</v>
      </c>
      <c r="P50" s="20">
        <f>P47*$H$17/(P38+$H$17+$H$17*$H$16/P38+$H$17*$H$16*$H$15/(P38^2))</f>
        <v>0</v>
      </c>
      <c r="Q50" s="6" t="s">
        <v>51</v>
      </c>
    </row>
    <row r="51" spans="11:17" ht="18" customHeight="1" x14ac:dyDescent="0.3">
      <c r="K51" s="2" t="s">
        <v>144</v>
      </c>
      <c r="L51" s="20">
        <f>L47-L48-L49-L50</f>
        <v>3.2830431819018228E-7</v>
      </c>
      <c r="M51" s="6" t="s">
        <v>51</v>
      </c>
      <c r="O51" s="2" t="s">
        <v>144</v>
      </c>
      <c r="P51" s="20">
        <f>P47-P48-P49-P50</f>
        <v>0</v>
      </c>
      <c r="Q51" s="6" t="s">
        <v>51</v>
      </c>
    </row>
    <row r="52" spans="11:17" ht="18" customHeight="1" x14ac:dyDescent="0.3">
      <c r="K52" s="2" t="s">
        <v>145</v>
      </c>
      <c r="L52" s="24">
        <f>L15/$B$13*2/1000</f>
        <v>5.2479999999999999E-2</v>
      </c>
      <c r="M52" s="1" t="s">
        <v>51</v>
      </c>
      <c r="O52" s="2" t="s">
        <v>145</v>
      </c>
      <c r="P52" s="24">
        <f>P15/$B$13*2/1000</f>
        <v>8.0879999999999997E-3</v>
      </c>
      <c r="Q52" s="1" t="s">
        <v>51</v>
      </c>
    </row>
    <row r="53" spans="11:17" ht="18" customHeight="1" x14ac:dyDescent="0.3">
      <c r="K53" s="2" t="s">
        <v>146</v>
      </c>
      <c r="L53" s="24">
        <f>L52-SUM(L40:L43)-L39+L38-L46-L49-2*L48+L51</f>
        <v>3.861770411740939E-2</v>
      </c>
      <c r="M53" s="1" t="s">
        <v>51</v>
      </c>
      <c r="O53" s="2" t="s">
        <v>146</v>
      </c>
      <c r="P53" s="24">
        <f>P52-SUM(P40:P43)-P39+P38-P46-P49-2*P48+P51</f>
        <v>8.0877153950105855E-3</v>
      </c>
      <c r="Q53" s="1" t="s">
        <v>51</v>
      </c>
    </row>
    <row r="54" spans="11:17" ht="18" customHeight="1" x14ac:dyDescent="0.3">
      <c r="K54" s="2" t="s">
        <v>121</v>
      </c>
      <c r="L54" s="24">
        <f>L53*(L38+$H$13)/$H$13</f>
        <v>0.25578101320933733</v>
      </c>
      <c r="M54" s="1" t="s">
        <v>51</v>
      </c>
      <c r="O54" s="2" t="s">
        <v>121</v>
      </c>
      <c r="P54" s="24">
        <f>P53*(P38+$H$13)/$H$13</f>
        <v>8.6602817969302272E-3</v>
      </c>
      <c r="Q54" s="1" t="s">
        <v>51</v>
      </c>
    </row>
    <row r="55" spans="11:17" ht="18" customHeight="1" x14ac:dyDescent="0.3">
      <c r="K55" s="2" t="s">
        <v>147</v>
      </c>
      <c r="L55" s="24">
        <f>L54-L53</f>
        <v>0.21716330909192794</v>
      </c>
      <c r="M55" s="1" t="s">
        <v>51</v>
      </c>
      <c r="O55" s="2" t="s">
        <v>147</v>
      </c>
      <c r="P55" s="24">
        <f>P54-P53</f>
        <v>5.7256640191964171E-4</v>
      </c>
      <c r="Q55" s="1" t="s">
        <v>51</v>
      </c>
    </row>
    <row r="56" spans="11:17" ht="18" customHeight="1" x14ac:dyDescent="0.3">
      <c r="K56" s="2" t="s">
        <v>148</v>
      </c>
      <c r="L56" s="23">
        <f>L38-L39-L40-L41-L42-L43+L45-3*L48-2*L49-L50+L57-L53</f>
        <v>-4.7853271889400917E-2</v>
      </c>
      <c r="M56" s="1" t="s">
        <v>149</v>
      </c>
      <c r="O56" s="2" t="s">
        <v>148</v>
      </c>
      <c r="P56" s="23">
        <f>P38-P39-P40-P41-P42-P43+P45-3*P48-2*P49-P50+P57-P53</f>
        <v>-7.588000000000001E-3</v>
      </c>
      <c r="Q56" s="1" t="s">
        <v>149</v>
      </c>
    </row>
    <row r="57" spans="11:17" ht="18" customHeight="1" x14ac:dyDescent="0.3">
      <c r="K57" s="2" t="s">
        <v>150</v>
      </c>
      <c r="L57" s="4">
        <v>5.0000000000000001E-4</v>
      </c>
      <c r="M57" s="1" t="s">
        <v>51</v>
      </c>
      <c r="O57" s="2" t="s">
        <v>150</v>
      </c>
      <c r="P57" s="4">
        <v>5.0000000000000001E-4</v>
      </c>
      <c r="Q57" s="1" t="s">
        <v>51</v>
      </c>
    </row>
    <row r="58" spans="11:17" ht="18" customHeight="1" x14ac:dyDescent="0.3">
      <c r="K58" s="2" t="s">
        <v>130</v>
      </c>
      <c r="L58" s="28">
        <v>0.02</v>
      </c>
      <c r="M58" s="1" t="s">
        <v>51</v>
      </c>
      <c r="O58" s="2" t="s">
        <v>130</v>
      </c>
      <c r="P58" s="28">
        <v>0.02</v>
      </c>
      <c r="Q58" s="1" t="s">
        <v>51</v>
      </c>
    </row>
    <row r="59" spans="11:17" ht="18" customHeight="1" x14ac:dyDescent="0.3">
      <c r="K59" s="2" t="s">
        <v>127</v>
      </c>
      <c r="L59" s="29">
        <f>L57+L58</f>
        <v>2.0500000000000001E-2</v>
      </c>
      <c r="M59" s="1" t="s">
        <v>51</v>
      </c>
      <c r="O59" s="2" t="s">
        <v>127</v>
      </c>
      <c r="P59" s="29">
        <f>P57+P58</f>
        <v>2.0500000000000001E-2</v>
      </c>
      <c r="Q59" s="1" t="s">
        <v>51</v>
      </c>
    </row>
    <row r="62" spans="11:17" ht="18" customHeight="1" x14ac:dyDescent="0.3">
      <c r="M62" s="36" t="s">
        <v>151</v>
      </c>
      <c r="N62" s="36"/>
      <c r="O62" s="36"/>
    </row>
    <row r="63" spans="11:17" ht="18" customHeight="1" x14ac:dyDescent="0.3">
      <c r="M63" s="2" t="s">
        <v>133</v>
      </c>
      <c r="N63" s="20">
        <f>(L38*$H$4/1000+P38*($H$2+$H$3)/1000)/($H$2+$H$3+$H$4)*1000</f>
        <v>3.1622776601683706E-8</v>
      </c>
      <c r="O63" s="1" t="s">
        <v>51</v>
      </c>
    </row>
    <row r="64" spans="11:17" ht="18" customHeight="1" x14ac:dyDescent="0.3">
      <c r="M64" s="2" t="s">
        <v>134</v>
      </c>
      <c r="N64" s="20">
        <f>$H$18/N63</f>
        <v>3.1622776601683882E-7</v>
      </c>
      <c r="O64" s="1" t="s">
        <v>51</v>
      </c>
    </row>
    <row r="65" spans="13:15" ht="18" customHeight="1" x14ac:dyDescent="0.3">
      <c r="M65" s="2" t="s">
        <v>135</v>
      </c>
      <c r="N65" s="20">
        <f>(L40*$H$4/1000+P40*($H$2+$H$3)/1000)/($H$2+$H$3+$H$4)*1000</f>
        <v>0</v>
      </c>
      <c r="O65" s="1" t="s">
        <v>51</v>
      </c>
    </row>
    <row r="66" spans="13:15" ht="18" customHeight="1" x14ac:dyDescent="0.3">
      <c r="M66" s="2" t="s">
        <v>136</v>
      </c>
      <c r="N66" s="20">
        <f t="shared" ref="N66:N68" si="2">(L41*$H$4/1000+P41*($H$2+$H$3)/1000)/($H$2+$H$3+$H$4)*1000</f>
        <v>0</v>
      </c>
      <c r="O66" s="1" t="s">
        <v>51</v>
      </c>
    </row>
    <row r="67" spans="13:15" ht="18" customHeight="1" x14ac:dyDescent="0.3">
      <c r="M67" s="2" t="s">
        <v>137</v>
      </c>
      <c r="N67" s="20">
        <f t="shared" si="2"/>
        <v>0</v>
      </c>
      <c r="O67" s="1" t="s">
        <v>51</v>
      </c>
    </row>
    <row r="68" spans="13:15" ht="18" customHeight="1" x14ac:dyDescent="0.3">
      <c r="M68" s="2" t="s">
        <v>138</v>
      </c>
      <c r="N68" s="20">
        <f t="shared" si="2"/>
        <v>0</v>
      </c>
      <c r="O68" s="1" t="s">
        <v>51</v>
      </c>
    </row>
    <row r="69" spans="13:15" ht="18" customHeight="1" x14ac:dyDescent="0.3">
      <c r="M69" s="2" t="s">
        <v>139</v>
      </c>
      <c r="N69" s="20">
        <f>T28*N63/($H$14+N63)</f>
        <v>0</v>
      </c>
      <c r="O69" s="1" t="s">
        <v>51</v>
      </c>
    </row>
    <row r="70" spans="13:15" ht="18" customHeight="1" x14ac:dyDescent="0.3">
      <c r="M70" s="2" t="s">
        <v>140</v>
      </c>
      <c r="N70" s="20">
        <f>T28-N69</f>
        <v>0</v>
      </c>
      <c r="O70" s="1" t="s">
        <v>51</v>
      </c>
    </row>
    <row r="71" spans="13:15" ht="18" customHeight="1" x14ac:dyDescent="0.3">
      <c r="M71" s="2" t="s">
        <v>141</v>
      </c>
      <c r="N71" s="20">
        <f>$H$15*T29/($H$15+N63+N63^2/$H$16+N63^3/($H$16*$H$17))</f>
        <v>0</v>
      </c>
      <c r="O71" s="6" t="s">
        <v>51</v>
      </c>
    </row>
    <row r="72" spans="13:15" ht="18" customHeight="1" x14ac:dyDescent="0.3">
      <c r="M72" s="2" t="s">
        <v>142</v>
      </c>
      <c r="N72" s="20">
        <f>$H$16*T29/($H$15*$H$16/N63+$H$16+N63+(N63^2)/$H$17)</f>
        <v>0</v>
      </c>
      <c r="O72" s="6" t="s">
        <v>51</v>
      </c>
    </row>
    <row r="73" spans="13:15" ht="18" customHeight="1" x14ac:dyDescent="0.3">
      <c r="M73" s="2" t="s">
        <v>143</v>
      </c>
      <c r="N73" s="20">
        <f>T29*$H$17/(N63+$H$17+$H$17*$H$16/N63+$H$17*$H$16*$H$15/(N63^2))</f>
        <v>0</v>
      </c>
      <c r="O73" s="6" t="s">
        <v>51</v>
      </c>
    </row>
    <row r="74" spans="13:15" ht="18" customHeight="1" x14ac:dyDescent="0.3">
      <c r="M74" s="2" t="s">
        <v>144</v>
      </c>
      <c r="N74" s="20">
        <f>T29-N71-N72-N73</f>
        <v>0</v>
      </c>
      <c r="O74" s="6" t="s">
        <v>51</v>
      </c>
    </row>
    <row r="75" spans="13:15" ht="18" customHeight="1" x14ac:dyDescent="0.3">
      <c r="M75" s="2" t="s">
        <v>146</v>
      </c>
      <c r="N75" s="24">
        <f>T27*$H$13/($H$13+N63)</f>
        <v>8.0877153950105873E-3</v>
      </c>
      <c r="O75" s="1" t="s">
        <v>51</v>
      </c>
    </row>
    <row r="76" spans="13:15" ht="18" customHeight="1" x14ac:dyDescent="0.3">
      <c r="M76" s="2" t="s">
        <v>147</v>
      </c>
      <c r="N76" s="24">
        <f>T27-N75</f>
        <v>5.7256640191964171E-4</v>
      </c>
      <c r="O76" s="1" t="s">
        <v>51</v>
      </c>
    </row>
    <row r="77" spans="13:15" ht="18" customHeight="1" x14ac:dyDescent="0.3">
      <c r="M77" s="2" t="s">
        <v>148</v>
      </c>
      <c r="N77" s="23">
        <f>N63-N64-N65-N66-N67-N68+N69-3*N71-2*N72-N73+N78-N75</f>
        <v>9.9999999999406119E-9</v>
      </c>
      <c r="O77" s="1" t="s">
        <v>149</v>
      </c>
    </row>
    <row r="78" spans="13:15" ht="18" customHeight="1" x14ac:dyDescent="0.3">
      <c r="M78" s="2" t="s">
        <v>150</v>
      </c>
      <c r="N78" s="4">
        <v>8.0880100000000031E-3</v>
      </c>
      <c r="O78" s="1" t="s">
        <v>51</v>
      </c>
    </row>
    <row r="79" spans="13:15" ht="18" customHeight="1" x14ac:dyDescent="0.3">
      <c r="M79" s="2" t="s">
        <v>130</v>
      </c>
      <c r="N79" s="28">
        <v>0.02</v>
      </c>
      <c r="O79" s="1" t="s">
        <v>51</v>
      </c>
    </row>
    <row r="80" spans="13:15" ht="18" customHeight="1" x14ac:dyDescent="0.3">
      <c r="M80" s="2" t="s">
        <v>127</v>
      </c>
      <c r="N80" s="29">
        <f>N78+N79</f>
        <v>2.8088010000000004E-2</v>
      </c>
      <c r="O80" s="1" t="s">
        <v>51</v>
      </c>
    </row>
  </sheetData>
  <mergeCells count="9">
    <mergeCell ref="S1:U1"/>
    <mergeCell ref="G8:I8"/>
    <mergeCell ref="K22:M22"/>
    <mergeCell ref="O22:Q22"/>
    <mergeCell ref="M62:O62"/>
    <mergeCell ref="A1:C1"/>
    <mergeCell ref="G1:I1"/>
    <mergeCell ref="K1:M1"/>
    <mergeCell ref="O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0D4C-C68A-4456-9288-0FDB92D2BAE9}">
  <dimension ref="A1:U80"/>
  <sheetViews>
    <sheetView topLeftCell="A58" zoomScale="85" zoomScaleNormal="85" workbookViewId="0">
      <selection activeCell="J91" sqref="J91"/>
    </sheetView>
  </sheetViews>
  <sheetFormatPr defaultColWidth="8.88671875" defaultRowHeight="18" customHeight="1" x14ac:dyDescent="0.3"/>
  <cols>
    <col min="1" max="21" width="10.6640625" style="6" customWidth="1"/>
    <col min="22" max="16384" width="8.88671875" style="6"/>
  </cols>
  <sheetData>
    <row r="1" spans="1:21" ht="18" customHeight="1" x14ac:dyDescent="0.3">
      <c r="A1" s="37" t="s">
        <v>0</v>
      </c>
      <c r="B1" s="37"/>
      <c r="C1" s="37"/>
      <c r="G1" s="38" t="s">
        <v>1</v>
      </c>
      <c r="H1" s="38"/>
      <c r="I1" s="38"/>
      <c r="K1" s="38" t="s">
        <v>2</v>
      </c>
      <c r="L1" s="38"/>
      <c r="M1" s="38"/>
      <c r="N1" s="7"/>
      <c r="O1" s="38" t="s">
        <v>3</v>
      </c>
      <c r="P1" s="38"/>
      <c r="Q1" s="38"/>
      <c r="S1" s="35" t="s">
        <v>4</v>
      </c>
      <c r="T1" s="35"/>
      <c r="U1" s="35"/>
    </row>
    <row r="2" spans="1:21" ht="18" customHeight="1" x14ac:dyDescent="0.3">
      <c r="A2" s="2" t="s">
        <v>5</v>
      </c>
      <c r="B2" s="9">
        <f>32*6/180</f>
        <v>1.0666666666666667</v>
      </c>
      <c r="C2" s="3" t="s">
        <v>6</v>
      </c>
      <c r="D2" s="7" t="s">
        <v>7</v>
      </c>
      <c r="G2" s="2" t="s">
        <v>8</v>
      </c>
      <c r="H2" s="11">
        <v>35.6</v>
      </c>
      <c r="I2" s="7" t="s">
        <v>9</v>
      </c>
      <c r="K2" s="2" t="s">
        <v>10</v>
      </c>
      <c r="L2" s="31">
        <v>290</v>
      </c>
      <c r="M2" s="7" t="s">
        <v>11</v>
      </c>
      <c r="N2" s="7"/>
      <c r="O2" s="2" t="s">
        <v>10</v>
      </c>
      <c r="P2" s="11">
        <v>0</v>
      </c>
      <c r="Q2" s="7" t="s">
        <v>11</v>
      </c>
      <c r="S2" s="8" t="s">
        <v>12</v>
      </c>
      <c r="T2" s="7">
        <v>0</v>
      </c>
      <c r="U2" s="18" t="str">
        <f>CONCATENATE("BMP.Xsu_restart = (open.X_su*BMP.V_inoculum+",T2,"*BMP.V_add)/BMP.V_liq;")</f>
        <v>BMP.Xsu_restart = (open.X_su*BMP.V_inoculum+0*BMP.V_add)/BMP.V_liq;</v>
      </c>
    </row>
    <row r="3" spans="1:21" ht="18" customHeight="1" x14ac:dyDescent="0.3">
      <c r="A3" s="2" t="s">
        <v>13</v>
      </c>
      <c r="B3" s="9">
        <v>1.58</v>
      </c>
      <c r="C3" s="3" t="s">
        <v>14</v>
      </c>
      <c r="D3" s="7" t="s">
        <v>7</v>
      </c>
      <c r="G3" s="2" t="s">
        <v>15</v>
      </c>
      <c r="H3" s="10">
        <v>88</v>
      </c>
      <c r="I3" s="7" t="s">
        <v>9</v>
      </c>
      <c r="K3" s="2" t="s">
        <v>16</v>
      </c>
      <c r="L3" s="31">
        <v>28</v>
      </c>
      <c r="M3" s="7" t="s">
        <v>17</v>
      </c>
      <c r="N3" s="7"/>
      <c r="O3" s="2" t="s">
        <v>16</v>
      </c>
      <c r="P3" s="11">
        <v>0</v>
      </c>
      <c r="Q3" s="7" t="s">
        <v>17</v>
      </c>
      <c r="S3" s="8" t="s">
        <v>18</v>
      </c>
      <c r="T3" s="7">
        <v>0</v>
      </c>
      <c r="U3" s="18" t="str">
        <f>CONCATENATE("BMP.Xaa_restart = (open.X_aa*BMP.V_inoculum+",T3,"*BMP.V_add)/BMP.V_liq;")</f>
        <v>BMP.Xaa_restart = (open.X_aa*BMP.V_inoculum+0*BMP.V_add)/BMP.V_liq;</v>
      </c>
    </row>
    <row r="4" spans="1:21" ht="18" customHeight="1" x14ac:dyDescent="0.3">
      <c r="A4" s="2" t="s">
        <v>19</v>
      </c>
      <c r="B4" s="9">
        <v>1.53</v>
      </c>
      <c r="C4" s="3" t="s">
        <v>20</v>
      </c>
      <c r="D4" s="7" t="s">
        <v>7</v>
      </c>
      <c r="G4" s="5" t="s">
        <v>21</v>
      </c>
      <c r="H4" s="12">
        <v>146.4</v>
      </c>
      <c r="I4" s="7" t="s">
        <v>9</v>
      </c>
      <c r="K4" s="8" t="s">
        <v>22</v>
      </c>
      <c r="L4" s="14">
        <v>1006.3965106169907</v>
      </c>
      <c r="M4" s="7" t="s">
        <v>23</v>
      </c>
      <c r="N4" s="7"/>
      <c r="O4" s="8" t="s">
        <v>22</v>
      </c>
      <c r="P4" s="14">
        <v>0</v>
      </c>
      <c r="Q4" s="7" t="s">
        <v>23</v>
      </c>
      <c r="S4" s="8" t="s">
        <v>24</v>
      </c>
      <c r="T4" s="7">
        <v>0</v>
      </c>
      <c r="U4" s="18" t="str">
        <f>CONCATENATE("BMP.Xfa_restart = (open.X_fa*BMP.V_inoculum+",T4,"*BMP.V_add)/BMP.V_liq;")</f>
        <v>BMP.Xfa_restart = (open.X_fa*BMP.V_inoculum+0*BMP.V_add)/BMP.V_liq;</v>
      </c>
    </row>
    <row r="5" spans="1:21" ht="18" customHeight="1" x14ac:dyDescent="0.3">
      <c r="A5" s="5" t="s">
        <v>25</v>
      </c>
      <c r="B5" s="9">
        <f>1/0.16</f>
        <v>6.25</v>
      </c>
      <c r="C5" s="3" t="s">
        <v>26</v>
      </c>
      <c r="D5" s="7" t="s">
        <v>7</v>
      </c>
      <c r="G5" s="5" t="s">
        <v>27</v>
      </c>
      <c r="H5" s="12">
        <f>SUM(H2:H4)</f>
        <v>270</v>
      </c>
      <c r="I5" s="7" t="s">
        <v>9</v>
      </c>
      <c r="K5" s="8" t="s">
        <v>28</v>
      </c>
      <c r="L5" s="15">
        <v>174.99</v>
      </c>
      <c r="M5" s="7" t="s">
        <v>29</v>
      </c>
      <c r="N5" s="7"/>
      <c r="O5" s="8" t="s">
        <v>28</v>
      </c>
      <c r="P5" s="15">
        <v>0</v>
      </c>
      <c r="Q5" s="7" t="s">
        <v>29</v>
      </c>
      <c r="S5" s="8" t="s">
        <v>30</v>
      </c>
      <c r="T5" s="7">
        <v>0</v>
      </c>
      <c r="U5" s="18" t="str">
        <f>CONCATENATE("BMP.Xc4_restart = (open.X_c4*BMP.V_inoculum+",T5,"*BMP.V_add)/BMP.V_liq;")</f>
        <v>BMP.Xc4_restart = (open.X_c4*BMP.V_inoculum+0*BMP.V_add)/BMP.V_liq;</v>
      </c>
    </row>
    <row r="6" spans="1:21" ht="18" customHeight="1" x14ac:dyDescent="0.3">
      <c r="A6" s="2" t="s">
        <v>31</v>
      </c>
      <c r="B6" s="9">
        <v>2.83</v>
      </c>
      <c r="C6" s="3" t="s">
        <v>32</v>
      </c>
      <c r="D6" s="7" t="s">
        <v>7</v>
      </c>
      <c r="K6" s="8" t="s">
        <v>33</v>
      </c>
      <c r="L6" s="16">
        <v>63.36</v>
      </c>
      <c r="M6" s="7" t="s">
        <v>34</v>
      </c>
      <c r="N6" s="7"/>
      <c r="O6" s="8" t="s">
        <v>33</v>
      </c>
      <c r="P6" s="16">
        <v>0</v>
      </c>
      <c r="Q6" s="7" t="s">
        <v>34</v>
      </c>
      <c r="S6" s="8" t="s">
        <v>35</v>
      </c>
      <c r="T6" s="7">
        <v>0</v>
      </c>
      <c r="U6" s="18" t="str">
        <f>CONCATENATE("BMP.Xpro_restart = (open.X_pro*BMP.V_inoculum+",T6,"*BMP.V_add)/BMP.V_liq;")</f>
        <v>BMP.Xpro_restart = (open.X_pro*BMP.V_inoculum+0*BMP.V_add)/BMP.V_liq;</v>
      </c>
    </row>
    <row r="7" spans="1:21" ht="18" customHeight="1" x14ac:dyDescent="0.3">
      <c r="A7" s="8" t="s">
        <v>36</v>
      </c>
      <c r="B7" s="9">
        <f>273.15+25</f>
        <v>298.14999999999998</v>
      </c>
      <c r="C7" s="7" t="s">
        <v>37</v>
      </c>
      <c r="D7" s="7" t="s">
        <v>38</v>
      </c>
      <c r="K7" s="8" t="s">
        <v>39</v>
      </c>
      <c r="L7" s="15">
        <v>177.95</v>
      </c>
      <c r="M7" s="7" t="s">
        <v>40</v>
      </c>
      <c r="N7" s="7"/>
      <c r="O7" s="8" t="s">
        <v>39</v>
      </c>
      <c r="P7" s="15">
        <v>0</v>
      </c>
      <c r="Q7" s="7" t="s">
        <v>40</v>
      </c>
      <c r="S7" s="8" t="s">
        <v>41</v>
      </c>
      <c r="T7" s="7">
        <v>0</v>
      </c>
      <c r="U7" s="18" t="str">
        <f>CONCATENATE("BMP.Xac_restart = (open.X_ac*BMP.V_inoculum+",T7,"*BMP.V_add)/BMP.V_liq;")</f>
        <v>BMP.Xac_restart = (open.X_ac*BMP.V_inoculum+0*BMP.V_add)/BMP.V_liq;</v>
      </c>
    </row>
    <row r="8" spans="1:21" ht="18" customHeight="1" x14ac:dyDescent="0.3">
      <c r="A8" s="8" t="s">
        <v>42</v>
      </c>
      <c r="B8" s="9">
        <v>0.08</v>
      </c>
      <c r="C8" s="7" t="s">
        <v>43</v>
      </c>
      <c r="D8" s="7"/>
      <c r="G8" s="36" t="s">
        <v>44</v>
      </c>
      <c r="H8" s="36"/>
      <c r="I8" s="36"/>
      <c r="K8" s="8" t="s">
        <v>45</v>
      </c>
      <c r="L8" s="16">
        <v>0.75123364848484853</v>
      </c>
      <c r="M8" s="7" t="s">
        <v>46</v>
      </c>
      <c r="N8" s="7"/>
      <c r="O8" s="8" t="s">
        <v>45</v>
      </c>
      <c r="P8" s="16">
        <v>0</v>
      </c>
      <c r="Q8" s="7" t="s">
        <v>46</v>
      </c>
      <c r="S8" s="8" t="s">
        <v>47</v>
      </c>
      <c r="T8" s="7">
        <v>0</v>
      </c>
      <c r="U8" s="18" t="str">
        <f>CONCATENATE("BMP.Xh2_restart = (open.X_h2*BMP.V_inoculum+",T8,"*BMP.V_add)/BMP.V_liq;")</f>
        <v>BMP.Xh2_restart = (open.X_h2*BMP.V_inoculum+0*BMP.V_add)/BMP.V_liq;</v>
      </c>
    </row>
    <row r="9" spans="1:21" ht="18" customHeight="1" x14ac:dyDescent="0.3">
      <c r="A9" s="8" t="s">
        <v>48</v>
      </c>
      <c r="B9" s="17">
        <v>60</v>
      </c>
      <c r="C9" s="7" t="s">
        <v>49</v>
      </c>
      <c r="G9" s="8" t="s">
        <v>50</v>
      </c>
      <c r="H9" s="19">
        <f t="shared" ref="H9:H18" si="0">10^-B17</f>
        <v>1.7378008287493744E-5</v>
      </c>
      <c r="I9" s="7" t="s">
        <v>51</v>
      </c>
      <c r="K9" s="8" t="s">
        <v>52</v>
      </c>
      <c r="L9" s="16">
        <v>0.32682810810810808</v>
      </c>
      <c r="M9" s="7" t="s">
        <v>46</v>
      </c>
      <c r="N9" s="7"/>
      <c r="O9" s="8" t="s">
        <v>52</v>
      </c>
      <c r="P9" s="16">
        <v>0</v>
      </c>
      <c r="Q9" s="7" t="s">
        <v>46</v>
      </c>
      <c r="S9" s="8" t="s">
        <v>53</v>
      </c>
      <c r="T9" s="7">
        <v>0</v>
      </c>
      <c r="U9" s="18" t="str">
        <f>CONCATENATE("BMP.Xc_restart = (open.X_c*BMP.V_inoculum+",T9,"*BMP.V_add)/BMP.V_liq;")</f>
        <v>BMP.Xc_restart = (open.X_c*BMP.V_inoculum+0*BMP.V_add)/BMP.V_liq;</v>
      </c>
    </row>
    <row r="10" spans="1:21" ht="18" customHeight="1" x14ac:dyDescent="0.3">
      <c r="A10" s="8" t="s">
        <v>54</v>
      </c>
      <c r="B10" s="17">
        <v>74</v>
      </c>
      <c r="C10" s="7" t="s">
        <v>49</v>
      </c>
      <c r="G10" s="8" t="s">
        <v>55</v>
      </c>
      <c r="H10" s="19">
        <f t="shared" si="0"/>
        <v>1.3182567385564052E-5</v>
      </c>
      <c r="I10" s="7" t="s">
        <v>51</v>
      </c>
      <c r="K10" s="8" t="s">
        <v>56</v>
      </c>
      <c r="L10" s="16">
        <v>0.16090694214876031</v>
      </c>
      <c r="M10" s="7" t="s">
        <v>46</v>
      </c>
      <c r="N10" s="7"/>
      <c r="O10" s="8" t="s">
        <v>56</v>
      </c>
      <c r="P10" s="16">
        <v>0</v>
      </c>
      <c r="Q10" s="7" t="s">
        <v>46</v>
      </c>
      <c r="S10" s="8" t="s">
        <v>57</v>
      </c>
      <c r="T10" s="25">
        <f>(L28*$H$4/1000+P28*($H$2+$H$3)/1000)/($H$2+$H$3+$H$4)*1000</f>
        <v>6.7510258986391918</v>
      </c>
      <c r="U10" s="18" t="str">
        <f>CONCATENATE("BMP.Xi_restart = (open.X_i*BMP.V_inoculum+",L27,"*BMP.V_add)/BMP.V_liq;")</f>
        <v>BMP.Xi_restart = (open.X_i*BMP.V_inoculum+0.670873008123554*BMP.V_add)/BMP.V_liq;</v>
      </c>
    </row>
    <row r="11" spans="1:21" ht="18" customHeight="1" x14ac:dyDescent="0.3">
      <c r="A11" s="8" t="s">
        <v>58</v>
      </c>
      <c r="B11" s="17">
        <v>88</v>
      </c>
      <c r="C11" s="7" t="s">
        <v>49</v>
      </c>
      <c r="G11" s="8" t="s">
        <v>59</v>
      </c>
      <c r="H11" s="19">
        <f t="shared" si="0"/>
        <v>1.5135612484362051E-5</v>
      </c>
      <c r="I11" s="7" t="s">
        <v>51</v>
      </c>
      <c r="K11" s="8" t="s">
        <v>60</v>
      </c>
      <c r="L11" s="16">
        <v>6.6481768270944749E-2</v>
      </c>
      <c r="M11" s="7" t="s">
        <v>46</v>
      </c>
      <c r="N11" s="7"/>
      <c r="O11" s="8" t="s">
        <v>60</v>
      </c>
      <c r="P11" s="16">
        <v>0</v>
      </c>
      <c r="Q11" s="7" t="s">
        <v>46</v>
      </c>
      <c r="S11" s="8" t="s">
        <v>61</v>
      </c>
      <c r="T11" s="25">
        <f>(L29*$H$4/1000+P29*($H$2+$H$3)/1000)/($H$2+$H$3+$H$4)*1000</f>
        <v>1.9591893461018195</v>
      </c>
      <c r="U11" s="18" t="str">
        <f>CONCATENATE("BMP.Xch1_restart = (open.X_ch[1]*BMP.V_inoculum+",T11,"*BMP.V_add)/BMP.V_liq;")</f>
        <v>BMP.Xch1_restart = (open.X_ch[1]*BMP.V_inoculum+1.95918934610182*BMP.V_add)/BMP.V_liq;</v>
      </c>
    </row>
    <row r="12" spans="1:21" ht="18" customHeight="1" x14ac:dyDescent="0.3">
      <c r="A12" s="8" t="s">
        <v>62</v>
      </c>
      <c r="B12" s="17">
        <v>102</v>
      </c>
      <c r="C12" s="7" t="s">
        <v>49</v>
      </c>
      <c r="G12" s="8" t="s">
        <v>63</v>
      </c>
      <c r="H12" s="19">
        <f t="shared" si="0"/>
        <v>1.3803842646028827E-5</v>
      </c>
      <c r="I12" s="7" t="s">
        <v>51</v>
      </c>
      <c r="K12" s="8" t="s">
        <v>64</v>
      </c>
      <c r="L12" s="15">
        <v>72</v>
      </c>
      <c r="M12" s="7" t="s">
        <v>65</v>
      </c>
      <c r="N12" s="7"/>
      <c r="O12" s="8" t="s">
        <v>64</v>
      </c>
      <c r="P12" s="15">
        <v>0</v>
      </c>
      <c r="Q12" s="7" t="s">
        <v>65</v>
      </c>
      <c r="S12" s="8" t="s">
        <v>66</v>
      </c>
      <c r="T12" s="25">
        <f t="shared" ref="T12:T15" si="1">(L30*$H$4/1000+P30*($H$2+$H$3)/1000)/($H$2+$H$3+$H$4)*1000</f>
        <v>0.21768770512242441</v>
      </c>
      <c r="U12" s="18" t="str">
        <f>CONCATENATE("BMP.Xch2_restart = (open.X_ch[2]*BMP.V_inoculum+",T12,"*BMP.V_add)/BMP.V_liq;")</f>
        <v>BMP.Xch2_restart = (open.X_ch[2]*BMP.V_inoculum+0.217687705122424*BMP.V_add)/BMP.V_liq;</v>
      </c>
    </row>
    <row r="13" spans="1:21" ht="18" customHeight="1" x14ac:dyDescent="0.3">
      <c r="A13" s="8" t="s">
        <v>67</v>
      </c>
      <c r="B13" s="17">
        <v>100</v>
      </c>
      <c r="C13" s="7" t="s">
        <v>49</v>
      </c>
      <c r="G13" s="8" t="s">
        <v>68</v>
      </c>
      <c r="H13" s="19">
        <f t="shared" si="0"/>
        <v>4.4668359215096327E-7</v>
      </c>
      <c r="I13" s="7" t="s">
        <v>51</v>
      </c>
      <c r="K13" s="8" t="s">
        <v>69</v>
      </c>
      <c r="L13" s="15">
        <v>31.5</v>
      </c>
      <c r="M13" s="7" t="s">
        <v>70</v>
      </c>
      <c r="N13" s="7"/>
      <c r="O13" s="8" t="s">
        <v>69</v>
      </c>
      <c r="P13" s="15">
        <v>0</v>
      </c>
      <c r="Q13" s="7" t="s">
        <v>70</v>
      </c>
      <c r="S13" s="8" t="s">
        <v>71</v>
      </c>
      <c r="T13" s="25">
        <f t="shared" si="1"/>
        <v>3.4709607489180145</v>
      </c>
      <c r="U13" s="18" t="str">
        <f>CONCATENATE("BMP.Xpr1_restart = (open.X_pr[1]*BMP.V_inoculum+",T13,"*BMP.V_add)/BMP.V_liq;")</f>
        <v>BMP.Xpr1_restart = (open.X_pr[1]*BMP.V_inoculum+3.47096074891801*BMP.V_add)/BMP.V_liq;</v>
      </c>
    </row>
    <row r="14" spans="1:21" ht="18" customHeight="1" x14ac:dyDescent="0.3">
      <c r="A14" s="8" t="s">
        <v>72</v>
      </c>
      <c r="B14" s="17">
        <v>60</v>
      </c>
      <c r="C14" s="7" t="s">
        <v>49</v>
      </c>
      <c r="G14" s="8" t="s">
        <v>73</v>
      </c>
      <c r="H14" s="19">
        <f t="shared" si="0"/>
        <v>5.6234132519034889E-10</v>
      </c>
      <c r="I14" s="7" t="s">
        <v>51</v>
      </c>
      <c r="K14" s="8" t="s">
        <v>74</v>
      </c>
      <c r="L14" s="16">
        <v>5.6</v>
      </c>
      <c r="M14" s="7" t="s">
        <v>43</v>
      </c>
      <c r="N14" s="7"/>
      <c r="O14" s="8" t="s">
        <v>74</v>
      </c>
      <c r="P14" s="15">
        <v>7.5</v>
      </c>
      <c r="Q14" s="7" t="s">
        <v>43</v>
      </c>
      <c r="S14" s="8" t="s">
        <v>75</v>
      </c>
      <c r="T14" s="25">
        <f t="shared" si="1"/>
        <v>0.38566230543533497</v>
      </c>
      <c r="U14" s="18" t="str">
        <f>CONCATENATE("BMP.Xpr2_restart = (open.X_pr[2]*BMP.V_inoculum+",T14,"*BMP.V_add)/BMP.V_liq;")</f>
        <v>BMP.Xpr2_restart = (open.X_pr[2]*BMP.V_inoculum+0.385662305435335*BMP.V_add)/BMP.V_liq;</v>
      </c>
    </row>
    <row r="15" spans="1:21" ht="18" customHeight="1" x14ac:dyDescent="0.3">
      <c r="A15" s="8" t="s">
        <v>76</v>
      </c>
      <c r="B15" s="17">
        <v>14</v>
      </c>
      <c r="C15" s="7" t="s">
        <v>49</v>
      </c>
      <c r="G15" s="8" t="s">
        <v>77</v>
      </c>
      <c r="H15" s="19">
        <f t="shared" si="0"/>
        <v>2.1379620895022253E-13</v>
      </c>
      <c r="I15" s="7" t="s">
        <v>51</v>
      </c>
      <c r="K15" s="8" t="s">
        <v>78</v>
      </c>
      <c r="L15" s="15">
        <v>2624</v>
      </c>
      <c r="M15" s="7" t="s">
        <v>79</v>
      </c>
      <c r="N15" s="7"/>
      <c r="O15" s="8" t="s">
        <v>78</v>
      </c>
      <c r="P15" s="15">
        <v>404.4</v>
      </c>
      <c r="Q15" s="7" t="s">
        <v>79</v>
      </c>
      <c r="S15" s="8" t="s">
        <v>80</v>
      </c>
      <c r="T15" s="25">
        <f t="shared" si="1"/>
        <v>7.0195478327452498</v>
      </c>
      <c r="U15" s="18" t="str">
        <f>CONCATENATE("BMP.Xli_restart = (open.X_li*BMP.V_inoculum+",T15,"*BMP.V_add)/BMP.V_liq;")</f>
        <v>BMP.Xli_restart = (open.X_li*BMP.V_inoculum+7.01954783274525*BMP.V_add)/BMP.V_liq;</v>
      </c>
    </row>
    <row r="16" spans="1:21" ht="18" customHeight="1" x14ac:dyDescent="0.3">
      <c r="A16" s="8" t="s">
        <v>81</v>
      </c>
      <c r="B16" s="17">
        <v>31</v>
      </c>
      <c r="C16" s="7" t="s">
        <v>49</v>
      </c>
      <c r="G16" s="8" t="s">
        <v>82</v>
      </c>
      <c r="H16" s="19">
        <f t="shared" si="0"/>
        <v>6.1659500186148087E-8</v>
      </c>
      <c r="I16" s="7" t="s">
        <v>51</v>
      </c>
      <c r="K16" s="8" t="s">
        <v>83</v>
      </c>
      <c r="L16" s="15">
        <v>0.1</v>
      </c>
      <c r="M16" s="7" t="s">
        <v>43</v>
      </c>
      <c r="N16" s="7"/>
      <c r="O16" s="8" t="s">
        <v>83</v>
      </c>
      <c r="P16" s="15">
        <v>0</v>
      </c>
      <c r="Q16" s="7" t="s">
        <v>43</v>
      </c>
      <c r="S16" s="8" t="s">
        <v>84</v>
      </c>
      <c r="T16" s="7">
        <v>0</v>
      </c>
      <c r="U16" s="18" t="str">
        <f>CONCATENATE("BMP.Xp_restart = (open.X_p*BMP.V_inoculum+",T16,"*BMP.V_add)/BMP.V_liq;")</f>
        <v>BMP.Xp_restart = (open.X_p*BMP.V_inoculum+0*BMP.V_add)/BMP.V_liq;</v>
      </c>
    </row>
    <row r="17" spans="1:21" ht="18" customHeight="1" x14ac:dyDescent="0.3">
      <c r="A17" s="8" t="s">
        <v>85</v>
      </c>
      <c r="B17" s="17">
        <v>4.76</v>
      </c>
      <c r="C17" s="7" t="s">
        <v>43</v>
      </c>
      <c r="G17" s="8" t="s">
        <v>86</v>
      </c>
      <c r="H17" s="19">
        <f t="shared" si="0"/>
        <v>7.5857757502918299E-3</v>
      </c>
      <c r="I17" s="7" t="s">
        <v>51</v>
      </c>
      <c r="K17" s="8" t="s">
        <v>87</v>
      </c>
      <c r="L17" s="15">
        <v>0.8</v>
      </c>
      <c r="M17" s="7" t="s">
        <v>43</v>
      </c>
      <c r="N17" s="7"/>
      <c r="O17" s="8" t="s">
        <v>87</v>
      </c>
      <c r="P17" s="15">
        <v>0</v>
      </c>
      <c r="Q17" s="7" t="s">
        <v>43</v>
      </c>
      <c r="S17" s="8" t="s">
        <v>88</v>
      </c>
      <c r="T17" s="7">
        <v>0</v>
      </c>
      <c r="U17" s="18" t="str">
        <f>CONCATENATE("BMP.Si_restart = (open.S_i*BMP.V_inoculum+",T17,"*BMP.V_add)/BMP.V_liq;")</f>
        <v>BMP.Si_restart = (open.S_i*BMP.V_inoculum+0*BMP.V_add)/BMP.V_liq;</v>
      </c>
    </row>
    <row r="18" spans="1:21" ht="18" customHeight="1" x14ac:dyDescent="0.3">
      <c r="A18" s="8" t="s">
        <v>89</v>
      </c>
      <c r="B18" s="17">
        <v>4.88</v>
      </c>
      <c r="C18" s="7" t="s">
        <v>43</v>
      </c>
      <c r="G18" s="8" t="s">
        <v>90</v>
      </c>
      <c r="H18" s="19">
        <f t="shared" si="0"/>
        <v>1E-14</v>
      </c>
      <c r="I18" s="7" t="s">
        <v>91</v>
      </c>
      <c r="K18" s="8" t="s">
        <v>92</v>
      </c>
      <c r="L18" s="15">
        <f>1-L17-L16</f>
        <v>9.999999999999995E-2</v>
      </c>
      <c r="M18" s="7" t="s">
        <v>43</v>
      </c>
      <c r="N18" s="7"/>
      <c r="O18" s="8" t="s">
        <v>92</v>
      </c>
      <c r="P18" s="15">
        <v>0</v>
      </c>
      <c r="Q18" s="7" t="s">
        <v>43</v>
      </c>
      <c r="S18" s="8" t="s">
        <v>93</v>
      </c>
      <c r="T18" s="7">
        <v>0</v>
      </c>
      <c r="U18" s="18" t="str">
        <f>CONCATENATE("BMP.Ssu_restart = (open.S_su*BMP.V_inoculum+",T18,"*BMP.V_add)/BMP.V_liq;")</f>
        <v>BMP.Ssu_restart = (open.S_su*BMP.V_inoculum+0*BMP.V_add)/BMP.V_liq;</v>
      </c>
    </row>
    <row r="19" spans="1:21" ht="18" customHeight="1" x14ac:dyDescent="0.3">
      <c r="A19" s="8" t="s">
        <v>94</v>
      </c>
      <c r="B19" s="17">
        <v>4.82</v>
      </c>
      <c r="C19" s="7" t="s">
        <v>43</v>
      </c>
      <c r="K19" s="8" t="s">
        <v>95</v>
      </c>
      <c r="L19" s="15">
        <v>0.1</v>
      </c>
      <c r="M19" s="7" t="s">
        <v>43</v>
      </c>
      <c r="N19" s="7"/>
      <c r="O19" s="8" t="s">
        <v>95</v>
      </c>
      <c r="P19" s="15">
        <v>0</v>
      </c>
      <c r="Q19" s="7" t="s">
        <v>43</v>
      </c>
      <c r="S19" s="8" t="s">
        <v>93</v>
      </c>
      <c r="T19" s="7">
        <v>0</v>
      </c>
      <c r="U19" s="18" t="str">
        <f>CONCATENATE("BMP.Saa_restart = (open.S_aa*BMP.V_inoculum+",T19,"*BMP.V_add)/BMP.V_liq;")</f>
        <v>BMP.Saa_restart = (open.S_aa*BMP.V_inoculum+0*BMP.V_add)/BMP.V_liq;</v>
      </c>
    </row>
    <row r="20" spans="1:21" ht="18" customHeight="1" x14ac:dyDescent="0.3">
      <c r="A20" s="8" t="s">
        <v>96</v>
      </c>
      <c r="B20" s="17">
        <v>4.8600000000000003</v>
      </c>
      <c r="C20" s="7" t="s">
        <v>43</v>
      </c>
      <c r="K20" s="8" t="s">
        <v>97</v>
      </c>
      <c r="L20" s="15">
        <v>0.1</v>
      </c>
      <c r="M20" s="7" t="s">
        <v>43</v>
      </c>
      <c r="N20" s="7"/>
      <c r="O20" s="8" t="s">
        <v>97</v>
      </c>
      <c r="P20" s="15">
        <v>0</v>
      </c>
      <c r="Q20" s="7" t="s">
        <v>43</v>
      </c>
      <c r="S20" s="8" t="s">
        <v>98</v>
      </c>
      <c r="T20" s="7">
        <v>0</v>
      </c>
      <c r="U20" s="18" t="str">
        <f>CONCATENATE("BMP.Sfa_restart = (open.S_fa*BMP.V_inoculum+",T20,"*BMP.V_add)/BMP.V_liq;")</f>
        <v>BMP.Sfa_restart = (open.S_fa*BMP.V_inoculum+0*BMP.V_add)/BMP.V_liq;</v>
      </c>
    </row>
    <row r="21" spans="1:21" ht="18" customHeight="1" x14ac:dyDescent="0.3">
      <c r="A21" s="8" t="s">
        <v>99</v>
      </c>
      <c r="B21" s="17">
        <v>6.35</v>
      </c>
      <c r="C21" s="7" t="s">
        <v>43</v>
      </c>
      <c r="K21" s="7"/>
      <c r="L21" s="7"/>
      <c r="M21" s="7"/>
      <c r="N21" s="7"/>
      <c r="O21" s="7"/>
      <c r="P21" s="7"/>
      <c r="S21" s="8" t="s">
        <v>100</v>
      </c>
      <c r="T21" s="25">
        <f>(L11*$H$4/1000+P11*($H$2+$H$3)/1000)/($H$2+$H$3+$H$4)*1000</f>
        <v>3.6047892129134493E-2</v>
      </c>
      <c r="U21" s="18" t="str">
        <f>CONCATENATE("BMP.Sva_restart = (open.S_va*BMP.V_inoculum+",T21,"*BMP.V_add)/BMP.V_liq;")</f>
        <v>BMP.Sva_restart = (open.S_va*BMP.V_inoculum+0.0360478921291345*BMP.V_add)/BMP.V_liq;</v>
      </c>
    </row>
    <row r="22" spans="1:21" ht="18" customHeight="1" x14ac:dyDescent="0.3">
      <c r="A22" s="8" t="s">
        <v>101</v>
      </c>
      <c r="B22" s="17">
        <v>9.25</v>
      </c>
      <c r="C22" s="7" t="s">
        <v>43</v>
      </c>
      <c r="K22" s="36" t="s">
        <v>102</v>
      </c>
      <c r="L22" s="36"/>
      <c r="M22" s="36"/>
      <c r="N22" s="7"/>
      <c r="O22" s="36" t="s">
        <v>103</v>
      </c>
      <c r="P22" s="36"/>
      <c r="Q22" s="36"/>
      <c r="S22" s="8" t="s">
        <v>104</v>
      </c>
      <c r="T22" s="25">
        <f>(L10*$H$4/1000+P10*($H$2+$H$3)/1000)/($H$2+$H$3+$H$4)*1000</f>
        <v>8.724731974288337E-2</v>
      </c>
      <c r="U22" s="18" t="str">
        <f>CONCATENATE("BMP.Sbu_restart = (open.S_bu*BMP.V_inoculum+",T22,"*BMP.V_add)/BMP.V_liq;")</f>
        <v>BMP.Sbu_restart = (open.S_bu*BMP.V_inoculum+0.0872473197428834*BMP.V_add)/BMP.V_liq;</v>
      </c>
    </row>
    <row r="23" spans="1:21" ht="18" customHeight="1" x14ac:dyDescent="0.3">
      <c r="A23" s="8" t="s">
        <v>105</v>
      </c>
      <c r="B23" s="17">
        <v>12.67</v>
      </c>
      <c r="C23" s="7" t="s">
        <v>43</v>
      </c>
      <c r="E23" s="7"/>
      <c r="F23" s="7"/>
      <c r="G23" s="7"/>
      <c r="H23" s="7"/>
      <c r="I23" s="7"/>
      <c r="K23" s="8" t="s">
        <v>106</v>
      </c>
      <c r="L23" s="13">
        <f>$L$5*$L$3*$L$4/1000/1000*$B$2</f>
        <v>5.2597985184003004</v>
      </c>
      <c r="M23" s="7" t="s">
        <v>107</v>
      </c>
      <c r="N23" s="7"/>
      <c r="O23" s="8" t="s">
        <v>106</v>
      </c>
      <c r="P23" s="13">
        <f>$P$5*$P$3*$P$4/1000/1000*$B$2</f>
        <v>0</v>
      </c>
      <c r="Q23" s="7" t="s">
        <v>107</v>
      </c>
      <c r="S23" s="8" t="s">
        <v>108</v>
      </c>
      <c r="T23" s="25">
        <f>(L9*$H$4/1000+P9*($H$2+$H$3)/1000)/($H$2+$H$3+$H$4)*1000</f>
        <v>0.17721346306306307</v>
      </c>
      <c r="U23" s="18" t="str">
        <f>CONCATENATE("BMP.Spro_restart = (open.S_pro*BMP.V_inoculum+",T23,"*BMP.V_add)/BMP.V_liq;")</f>
        <v>BMP.Spro_restart = (open.S_pro*BMP.V_inoculum+0.177213463063063*BMP.V_add)/BMP.V_liq;</v>
      </c>
    </row>
    <row r="24" spans="1:21" ht="18" customHeight="1" x14ac:dyDescent="0.3">
      <c r="A24" s="8" t="s">
        <v>109</v>
      </c>
      <c r="B24" s="17">
        <v>7.21</v>
      </c>
      <c r="C24" s="7" t="s">
        <v>43</v>
      </c>
      <c r="E24" s="7"/>
      <c r="F24" s="7"/>
      <c r="G24" s="7"/>
      <c r="H24" s="7"/>
      <c r="I24" s="7"/>
      <c r="K24" s="8" t="s">
        <v>110</v>
      </c>
      <c r="L24" s="13">
        <f>$L$6*L3*$L$4/1000/1000*B4*B5</f>
        <v>17.073154499873425</v>
      </c>
      <c r="M24" s="7" t="s">
        <v>107</v>
      </c>
      <c r="N24" s="7"/>
      <c r="O24" s="8" t="s">
        <v>110</v>
      </c>
      <c r="P24" s="13">
        <f>$P$6*P3*$P$4/1000/1000*B4*B5</f>
        <v>0</v>
      </c>
      <c r="Q24" s="7" t="s">
        <v>107</v>
      </c>
      <c r="S24" s="8" t="s">
        <v>111</v>
      </c>
      <c r="T24" s="25">
        <f>(L8*$H$4/1000+P8*($H$2+$H$3)/1000)/($H$2+$H$3+$H$4)*1000</f>
        <v>0.40733557828956235</v>
      </c>
      <c r="U24" s="18" t="str">
        <f>CONCATENATE("BMP.Sac_restart = (open.S_ac*BMP.V_inoculum+",T24,"*BMP.V_add)/BMP.V_liq;")</f>
        <v>BMP.Sac_restart = (open.S_ac*BMP.V_inoculum+0.407335578289562*BMP.V_add)/BMP.V_liq;</v>
      </c>
    </row>
    <row r="25" spans="1:21" ht="18" customHeight="1" x14ac:dyDescent="0.3">
      <c r="A25" s="8" t="s">
        <v>112</v>
      </c>
      <c r="B25" s="17">
        <v>2.12</v>
      </c>
      <c r="C25" s="7" t="s">
        <v>43</v>
      </c>
      <c r="E25" s="7"/>
      <c r="F25" s="7"/>
      <c r="G25" s="7"/>
      <c r="H25" s="7"/>
      <c r="I25" s="7"/>
      <c r="K25" s="8" t="s">
        <v>113</v>
      </c>
      <c r="L25" s="13">
        <f>$L$7*L3*$L$4/1000/1000*B6</f>
        <v>14.190953648254613</v>
      </c>
      <c r="M25" s="7" t="s">
        <v>107</v>
      </c>
      <c r="N25" s="7"/>
      <c r="O25" s="8" t="s">
        <v>113</v>
      </c>
      <c r="P25" s="13">
        <f>$P$7*P3*$P$4/1000/1000*B6</f>
        <v>0</v>
      </c>
      <c r="Q25" s="7" t="s">
        <v>107</v>
      </c>
      <c r="S25" s="8" t="s">
        <v>114</v>
      </c>
      <c r="T25" s="7">
        <v>0</v>
      </c>
      <c r="U25" s="18" t="str">
        <f>CONCATENATE("BMP.Sh2_restart = (open.S_h2*BMP.V_inoculum+",T25,"*BMP.V_add)/BMP.V_liq;")</f>
        <v>BMP.Sh2_restart = (open.S_h2*BMP.V_inoculum+0*BMP.V_add)/BMP.V_liq;</v>
      </c>
    </row>
    <row r="26" spans="1:21" ht="18" customHeight="1" x14ac:dyDescent="0.3">
      <c r="A26" s="8" t="s">
        <v>115</v>
      </c>
      <c r="B26" s="17">
        <v>14</v>
      </c>
      <c r="C26" s="7" t="s">
        <v>43</v>
      </c>
      <c r="E26" s="7"/>
      <c r="F26" s="7"/>
      <c r="G26" s="7"/>
      <c r="H26" s="7"/>
      <c r="I26" s="7"/>
      <c r="K26" s="8" t="s">
        <v>116</v>
      </c>
      <c r="L26" s="13">
        <f>IF(L3=0,0,SUM(L23:L25,L8:L11))</f>
        <v>37.829357133541009</v>
      </c>
      <c r="M26" s="7" t="s">
        <v>107</v>
      </c>
      <c r="N26" s="7"/>
      <c r="O26" s="8" t="s">
        <v>116</v>
      </c>
      <c r="P26" s="13">
        <f>IF(P3=0,0,SUM(P23:P25,P8:P11))</f>
        <v>0</v>
      </c>
      <c r="Q26" s="7" t="s">
        <v>107</v>
      </c>
      <c r="S26" s="8" t="s">
        <v>117</v>
      </c>
      <c r="T26" s="7">
        <v>0</v>
      </c>
      <c r="U26" s="18" t="str">
        <f>CONCATENATE("BMP.Sch4_restart = (open.S_ch4*BMP.V_inoculum+",T26,"*BMP.V_add)/BMP.V_liq;")</f>
        <v>BMP.Sch4_restart = (open.S_ch4*BMP.V_inoculum+0*BMP.V_add)/BMP.V_liq;</v>
      </c>
    </row>
    <row r="27" spans="1:21" ht="18" customHeight="1" x14ac:dyDescent="0.3">
      <c r="A27" s="8" t="s">
        <v>118</v>
      </c>
      <c r="B27" s="17">
        <v>64</v>
      </c>
      <c r="C27" s="7" t="s">
        <v>119</v>
      </c>
      <c r="E27" s="7"/>
      <c r="F27" s="7"/>
      <c r="G27" s="7"/>
      <c r="H27" s="7"/>
      <c r="I27" s="7"/>
      <c r="K27" s="8" t="s">
        <v>120</v>
      </c>
      <c r="L27" s="13">
        <f>IF(L3=0,0,$L$2*$L$3*$L$4/1000/$L$26/(350*(1-$B$8)))</f>
        <v>0.67087300812355433</v>
      </c>
      <c r="M27" s="7" t="s">
        <v>43</v>
      </c>
      <c r="N27" s="7"/>
      <c r="O27" s="8" t="s">
        <v>120</v>
      </c>
      <c r="P27" s="13">
        <f>IF(P3=0,0,$P$2*$P$3*$P$4/1000/$P$26/(350*(1-$B$8)))</f>
        <v>0</v>
      </c>
      <c r="Q27" s="7" t="s">
        <v>43</v>
      </c>
      <c r="S27" s="8" t="s">
        <v>121</v>
      </c>
      <c r="T27" s="25">
        <f>(L54*$H$4/1000+P54*($H$2+$H$3)/1000)/($H$2+$H$3+$H$4)*1000</f>
        <v>0.14265463394054656</v>
      </c>
      <c r="U27" s="18" t="str">
        <f>CONCATENATE("BMP.Sic_restart = (open.S_ic*BMP.V_inoculum+",T27,"*BMP.V_add)/BMP.V_liq;")</f>
        <v>BMP.Sic_restart = (open.S_ic*BMP.V_inoculum+0.142654633940547*BMP.V_add)/BMP.V_liq;</v>
      </c>
    </row>
    <row r="28" spans="1:21" ht="18" customHeight="1" x14ac:dyDescent="0.3">
      <c r="A28" s="8" t="s">
        <v>122</v>
      </c>
      <c r="B28" s="17">
        <v>112</v>
      </c>
      <c r="C28" s="7" t="s">
        <v>119</v>
      </c>
      <c r="E28" s="7"/>
      <c r="F28" s="7"/>
      <c r="G28" s="7"/>
      <c r="H28" s="7"/>
      <c r="I28" s="7"/>
      <c r="K28" s="8" t="s">
        <v>57</v>
      </c>
      <c r="L28" s="26">
        <f>(1-$L$27)*$L$26</f>
        <v>12.450662517982114</v>
      </c>
      <c r="M28" s="7" t="s">
        <v>107</v>
      </c>
      <c r="O28" s="8" t="s">
        <v>57</v>
      </c>
      <c r="P28" s="26">
        <f>(1-$P$27)*$P$26</f>
        <v>0</v>
      </c>
      <c r="Q28" s="7" t="s">
        <v>107</v>
      </c>
      <c r="S28" s="22" t="s">
        <v>123</v>
      </c>
      <c r="T28" s="25">
        <f>(L44*$H$4/1000+P44*($H$2+$H$3)/1000)/($H$2+$H$3+$H$4)*1000</f>
        <v>2.7885714285714293E-3</v>
      </c>
      <c r="U28" s="18" t="str">
        <f>CONCATENATE("BMP.Sin_restart = (open.S_in*BMP.V_inoculum+",T28,"*BMP.V_add)/BMP.V_liq;")</f>
        <v>BMP.Sin_restart = (open.S_in*BMP.V_inoculum+0.00278857142857143*BMP.V_add)/BMP.V_liq;</v>
      </c>
    </row>
    <row r="29" spans="1:21" ht="18" customHeight="1" x14ac:dyDescent="0.3">
      <c r="A29" s="8" t="s">
        <v>124</v>
      </c>
      <c r="B29" s="17">
        <v>160</v>
      </c>
      <c r="C29" s="7" t="s">
        <v>119</v>
      </c>
      <c r="E29" s="7"/>
      <c r="F29" s="7"/>
      <c r="G29" s="7"/>
      <c r="H29" s="7"/>
      <c r="I29" s="7"/>
      <c r="K29" s="8" t="s">
        <v>61</v>
      </c>
      <c r="L29" s="26">
        <f>(1-$L$19)*($L$23-$L$28*$L$16)</f>
        <v>3.6132590399418802</v>
      </c>
      <c r="M29" s="7" t="s">
        <v>107</v>
      </c>
      <c r="O29" s="8" t="s">
        <v>61</v>
      </c>
      <c r="P29" s="26">
        <f>(1-$P$19)*($P$23-$P$28*$P$16)</f>
        <v>0</v>
      </c>
      <c r="Q29" s="7" t="s">
        <v>107</v>
      </c>
      <c r="S29" s="8" t="s">
        <v>125</v>
      </c>
      <c r="T29" s="25">
        <f>(L47*$H$4/1000+P47*($H$2+$H$3)/1000)/($H$2+$H$3+$H$4)*1000</f>
        <v>5.5096774193548383E-4</v>
      </c>
      <c r="U29" s="18" t="str">
        <f>CONCATENATE("BMP.Sip_restart = (open.S_ip*BMP.V_inoculum+",T29,"*BMP.V_add)/BMP.V_liq;")</f>
        <v>BMP.Sip_restart = (open.S_ip*BMP.V_inoculum+0.000550967741935484*BMP.V_add)/BMP.V_liq;</v>
      </c>
    </row>
    <row r="30" spans="1:21" ht="18" customHeight="1" x14ac:dyDescent="0.3">
      <c r="A30" s="8" t="s">
        <v>126</v>
      </c>
      <c r="B30" s="17">
        <v>208</v>
      </c>
      <c r="C30" s="7" t="s">
        <v>119</v>
      </c>
      <c r="K30" s="8" t="s">
        <v>66</v>
      </c>
      <c r="L30" s="26">
        <f>($L$19)*($L$23-$L$28*$L$16)</f>
        <v>0.40147322666020896</v>
      </c>
      <c r="M30" s="7" t="s">
        <v>107</v>
      </c>
      <c r="O30" s="8" t="s">
        <v>66</v>
      </c>
      <c r="P30" s="26">
        <f>($P$19)*($P$23-$P$28*$P$16)</f>
        <v>0</v>
      </c>
      <c r="Q30" s="7" t="s">
        <v>107</v>
      </c>
      <c r="S30" s="8" t="s">
        <v>127</v>
      </c>
      <c r="T30" s="21">
        <f>N80</f>
        <v>6.0240962640324996E-2</v>
      </c>
      <c r="U30" s="18" t="str">
        <f>CONCATENATE("BMP.Scat_restart = (open.S_cat*BMP.V_inoculum+",T30,"*BMP.V_add)/BMP.V_liq;")</f>
        <v>BMP.Scat_restart = (open.S_cat*BMP.V_inoculum+0.060240962640325*BMP.V_add)/BMP.V_liq;</v>
      </c>
    </row>
    <row r="31" spans="1:21" ht="18" customHeight="1" x14ac:dyDescent="0.3">
      <c r="K31" s="8" t="s">
        <v>71</v>
      </c>
      <c r="L31" s="26">
        <f>(1-$L$20)*($L$24-$L$28*$L$17)</f>
        <v>6.401362036938961</v>
      </c>
      <c r="M31" s="7" t="s">
        <v>107</v>
      </c>
      <c r="O31" s="8" t="s">
        <v>71</v>
      </c>
      <c r="P31" s="26">
        <f>(1-$P$20)*($P$24-$P$28*$P$17)</f>
        <v>0</v>
      </c>
      <c r="Q31" s="7" t="s">
        <v>107</v>
      </c>
      <c r="S31" s="8" t="s">
        <v>128</v>
      </c>
      <c r="T31" s="30">
        <v>0</v>
      </c>
      <c r="U31" s="18" t="str">
        <f>CONCATENATE("BMP.Sca_restart = (open.S_ca*BMP.V_inoculum+",T31,"*BMP.V_add)/BMP.V_liq;")</f>
        <v>BMP.Sca_restart = (open.S_ca*BMP.V_inoculum+0*BMP.V_add)/BMP.V_liq;</v>
      </c>
    </row>
    <row r="32" spans="1:21" ht="18" customHeight="1" x14ac:dyDescent="0.3">
      <c r="K32" s="8" t="s">
        <v>75</v>
      </c>
      <c r="L32" s="26">
        <f>($L$20)*($L$24-$L$28*$L$17)</f>
        <v>0.71126244854877341</v>
      </c>
      <c r="M32" s="7" t="s">
        <v>107</v>
      </c>
      <c r="O32" s="8" t="s">
        <v>75</v>
      </c>
      <c r="P32" s="26">
        <f>($P$20)*($P$24-$P$28*$P$17)</f>
        <v>0</v>
      </c>
      <c r="Q32" s="7" t="s">
        <v>107</v>
      </c>
      <c r="S32" s="8" t="s">
        <v>129</v>
      </c>
      <c r="T32" s="30">
        <v>0</v>
      </c>
      <c r="U32" s="18" t="str">
        <f>CONCATENATE("BMP.Smg_restart = (open.S_mg*BMP.V_inoculum+",T32,"*BMP.V_add)/BMP.V_liq;")</f>
        <v>BMP.Smg_restart = (open.S_mg*BMP.V_inoculum+0*BMP.V_add)/BMP.V_liq;</v>
      </c>
    </row>
    <row r="33" spans="1:21" ht="18" customHeight="1" x14ac:dyDescent="0.3">
      <c r="K33" s="8" t="s">
        <v>80</v>
      </c>
      <c r="L33" s="26">
        <f>($L$25-$L$28*$L$18)</f>
        <v>12.945887396456403</v>
      </c>
      <c r="M33" s="7" t="s">
        <v>107</v>
      </c>
      <c r="O33" s="8" t="s">
        <v>80</v>
      </c>
      <c r="P33" s="26">
        <f>($P$25-$P$28*$P$18)</f>
        <v>0</v>
      </c>
      <c r="Q33" s="7" t="s">
        <v>107</v>
      </c>
      <c r="S33" s="8" t="s">
        <v>130</v>
      </c>
      <c r="T33" s="21">
        <f>N79</f>
        <v>0.02</v>
      </c>
      <c r="U33" s="18" t="str">
        <f>CONCATENATE("BMP.San_restart = (open.S_an*BMP.V_inoculum+",T33,"*BMP.V_add)/BMP.V_liq;")</f>
        <v>BMP.San_restart = (open.S_an*BMP.V_inoculum+0.02*BMP.V_add)/BMP.V_liq;</v>
      </c>
    </row>
    <row r="34" spans="1:21" ht="18" customHeight="1" x14ac:dyDescent="0.3">
      <c r="K34" s="8" t="s">
        <v>100</v>
      </c>
      <c r="L34" s="13">
        <f>L11</f>
        <v>6.6481768270944749E-2</v>
      </c>
      <c r="M34" s="7" t="s">
        <v>107</v>
      </c>
      <c r="O34" s="8" t="s">
        <v>100</v>
      </c>
      <c r="P34" s="13">
        <f>P11</f>
        <v>0</v>
      </c>
      <c r="Q34" s="7" t="s">
        <v>107</v>
      </c>
      <c r="S34" s="8" t="s">
        <v>131</v>
      </c>
      <c r="T34" s="7">
        <v>0</v>
      </c>
      <c r="U34" s="18" t="str">
        <f>CONCATENATE("BMP.ash_restart = (open.ash*BMP.V_inoculum+",T34,"*BMP.V_add)/BMP.V_liq;")</f>
        <v>BMP.ash_restart = (open.ash*BMP.V_inoculum+0*BMP.V_add)/BMP.V_liq;</v>
      </c>
    </row>
    <row r="35" spans="1:21" ht="18" customHeight="1" x14ac:dyDescent="0.3">
      <c r="A35" s="2"/>
      <c r="K35" s="8" t="s">
        <v>104</v>
      </c>
      <c r="L35" s="13">
        <f>L10</f>
        <v>0.16090694214876031</v>
      </c>
      <c r="M35" s="7" t="s">
        <v>107</v>
      </c>
      <c r="O35" s="8" t="s">
        <v>104</v>
      </c>
      <c r="P35" s="13">
        <f>P10</f>
        <v>0</v>
      </c>
      <c r="Q35" s="7" t="s">
        <v>107</v>
      </c>
      <c r="S35" s="8" t="s">
        <v>132</v>
      </c>
      <c r="T35" s="7">
        <v>0</v>
      </c>
      <c r="U35" s="18" t="str">
        <f>CONCATENATE("BMP.Xlig_restart = (open.X_lig*BMP.V_inoculum+",T35,"*BMP.V_add)/BMP.V_liq;")</f>
        <v>BMP.Xlig_restart = (open.X_lig*BMP.V_inoculum+0*BMP.V_add)/BMP.V_liq;</v>
      </c>
    </row>
    <row r="36" spans="1:21" ht="18" customHeight="1" x14ac:dyDescent="0.3">
      <c r="K36" s="8" t="s">
        <v>108</v>
      </c>
      <c r="L36" s="13">
        <f>L9</f>
        <v>0.32682810810810808</v>
      </c>
      <c r="M36" s="7" t="s">
        <v>107</v>
      </c>
      <c r="O36" s="8" t="s">
        <v>108</v>
      </c>
      <c r="P36" s="13">
        <f>P9</f>
        <v>0</v>
      </c>
      <c r="Q36" s="7" t="s">
        <v>107</v>
      </c>
    </row>
    <row r="37" spans="1:21" ht="18" customHeight="1" x14ac:dyDescent="0.3">
      <c r="K37" s="8" t="s">
        <v>111</v>
      </c>
      <c r="L37" s="13">
        <f>L8</f>
        <v>0.75123364848484853</v>
      </c>
      <c r="M37" s="7" t="s">
        <v>107</v>
      </c>
      <c r="O37" s="8" t="s">
        <v>111</v>
      </c>
      <c r="P37" s="13">
        <f>P8</f>
        <v>0</v>
      </c>
      <c r="Q37" s="7" t="s">
        <v>107</v>
      </c>
    </row>
    <row r="38" spans="1:21" ht="18" customHeight="1" x14ac:dyDescent="0.3">
      <c r="K38" s="2" t="s">
        <v>133</v>
      </c>
      <c r="L38" s="20">
        <f>IF(L14=0,0,(10^(-L14)))</f>
        <v>2.5118864315095806E-6</v>
      </c>
      <c r="M38" s="1" t="s">
        <v>51</v>
      </c>
      <c r="O38" s="2" t="s">
        <v>133</v>
      </c>
      <c r="P38" s="20">
        <f>IF(P14=0,0,(10^(-P14)))</f>
        <v>3.1622776601683699E-8</v>
      </c>
      <c r="Q38" s="1" t="s">
        <v>51</v>
      </c>
    </row>
    <row r="39" spans="1:21" ht="18" customHeight="1" x14ac:dyDescent="0.3">
      <c r="K39" s="2" t="s">
        <v>134</v>
      </c>
      <c r="L39" s="20">
        <f>IF(L14=0,0,$H$18/L38)</f>
        <v>3.9810717055349714E-9</v>
      </c>
      <c r="M39" s="1" t="s">
        <v>51</v>
      </c>
      <c r="O39" s="2" t="s">
        <v>134</v>
      </c>
      <c r="P39" s="20">
        <f>IF(P14=0,0,$H$18/P38)</f>
        <v>3.1622776601683887E-7</v>
      </c>
      <c r="Q39" s="1" t="s">
        <v>51</v>
      </c>
    </row>
    <row r="40" spans="1:21" ht="18" customHeight="1" x14ac:dyDescent="0.3">
      <c r="A40" s="8"/>
      <c r="K40" s="2" t="s">
        <v>135</v>
      </c>
      <c r="L40" s="20">
        <f>L8/$B$27*$H$9/(L38+$H$9)</f>
        <v>1.0255635425715722E-2</v>
      </c>
      <c r="M40" s="1" t="s">
        <v>51</v>
      </c>
      <c r="O40" s="2" t="s">
        <v>135</v>
      </c>
      <c r="P40" s="20">
        <f>P8/$B$27*$H$9/(P38+$H$9)</f>
        <v>0</v>
      </c>
      <c r="Q40" s="1" t="s">
        <v>51</v>
      </c>
    </row>
    <row r="41" spans="1:21" ht="18" customHeight="1" x14ac:dyDescent="0.3">
      <c r="K41" s="2" t="s">
        <v>136</v>
      </c>
      <c r="L41" s="20">
        <f>L9/$B$28*$H$10/(L38+$H$10)</f>
        <v>2.4510669324247108E-3</v>
      </c>
      <c r="M41" s="1" t="s">
        <v>51</v>
      </c>
      <c r="O41" s="2" t="s">
        <v>136</v>
      </c>
      <c r="P41" s="20">
        <f>P9/$B$28*$H$10/(P38+$H$10)</f>
        <v>0</v>
      </c>
      <c r="Q41" s="1" t="s">
        <v>51</v>
      </c>
    </row>
    <row r="42" spans="1:21" ht="18" customHeight="1" x14ac:dyDescent="0.3">
      <c r="K42" s="2" t="s">
        <v>137</v>
      </c>
      <c r="L42" s="20">
        <f>L10/$B$29*$H$11/(L38+$H$11)</f>
        <v>8.6252488738536987E-4</v>
      </c>
      <c r="M42" s="1" t="s">
        <v>51</v>
      </c>
      <c r="O42" s="2" t="s">
        <v>137</v>
      </c>
      <c r="P42" s="20">
        <f>P10/$B$29*$H$11/(P38+$H$11)</f>
        <v>0</v>
      </c>
      <c r="Q42" s="1" t="s">
        <v>51</v>
      </c>
    </row>
    <row r="43" spans="1:21" ht="18" customHeight="1" x14ac:dyDescent="0.3">
      <c r="K43" s="2" t="s">
        <v>138</v>
      </c>
      <c r="L43" s="20">
        <f>L11/$B$30*$H$12/(L38+$H$12)</f>
        <v>2.7041622266199365E-4</v>
      </c>
      <c r="M43" s="1" t="s">
        <v>51</v>
      </c>
      <c r="O43" s="2" t="s">
        <v>138</v>
      </c>
      <c r="P43" s="20">
        <f>P11/$B$30*$H$12/(P38+$H$12)</f>
        <v>0</v>
      </c>
      <c r="Q43" s="1" t="s">
        <v>51</v>
      </c>
    </row>
    <row r="44" spans="1:21" ht="18" customHeight="1" x14ac:dyDescent="0.3">
      <c r="K44" s="2" t="s">
        <v>123</v>
      </c>
      <c r="L44" s="20">
        <f>L12/$B$15/1000</f>
        <v>5.1428571428571435E-3</v>
      </c>
      <c r="M44" s="1" t="s">
        <v>51</v>
      </c>
      <c r="O44" s="2" t="s">
        <v>123</v>
      </c>
      <c r="P44" s="20">
        <f>P12/$B$15/1000</f>
        <v>0</v>
      </c>
      <c r="Q44" s="1" t="s">
        <v>51</v>
      </c>
    </row>
    <row r="45" spans="1:21" ht="18" customHeight="1" x14ac:dyDescent="0.3">
      <c r="K45" s="2" t="s">
        <v>139</v>
      </c>
      <c r="L45" s="20">
        <f>L44*L38/($H$14+L38)</f>
        <v>5.1417060582530519E-3</v>
      </c>
      <c r="M45" s="1" t="s">
        <v>51</v>
      </c>
      <c r="O45" s="2" t="s">
        <v>139</v>
      </c>
      <c r="P45" s="20">
        <f>P44*P38/($H$14+P38)</f>
        <v>0</v>
      </c>
      <c r="Q45" s="1" t="s">
        <v>51</v>
      </c>
    </row>
    <row r="46" spans="1:21" ht="18" customHeight="1" x14ac:dyDescent="0.3">
      <c r="K46" s="2" t="s">
        <v>140</v>
      </c>
      <c r="L46" s="20">
        <f>L44-L45</f>
        <v>1.1510846040915443E-6</v>
      </c>
      <c r="M46" s="1" t="s">
        <v>51</v>
      </c>
      <c r="O46" s="2" t="s">
        <v>140</v>
      </c>
      <c r="P46" s="20">
        <f>P44-P45</f>
        <v>0</v>
      </c>
      <c r="Q46" s="1" t="s">
        <v>51</v>
      </c>
    </row>
    <row r="47" spans="1:21" ht="18" customHeight="1" x14ac:dyDescent="0.3">
      <c r="K47" s="2" t="s">
        <v>125</v>
      </c>
      <c r="L47" s="20">
        <f>L13/$B$16/1000</f>
        <v>1.0161290322580644E-3</v>
      </c>
      <c r="M47" s="6" t="s">
        <v>51</v>
      </c>
      <c r="O47" s="2" t="s">
        <v>125</v>
      </c>
      <c r="P47" s="20">
        <f>P13/$B$16/1000</f>
        <v>0</v>
      </c>
      <c r="Q47" s="6" t="s">
        <v>51</v>
      </c>
    </row>
    <row r="48" spans="1:21" ht="18" customHeight="1" x14ac:dyDescent="0.3">
      <c r="K48" s="2" t="s">
        <v>141</v>
      </c>
      <c r="L48" s="20">
        <f>$H$15*L47/($H$15+L38+L38^2/$H$16+L38^3/($H$16*$H$17))</f>
        <v>2.0714602078681818E-12</v>
      </c>
      <c r="M48" s="6" t="s">
        <v>51</v>
      </c>
      <c r="O48" s="2" t="s">
        <v>141</v>
      </c>
      <c r="P48" s="20">
        <f>$H$15*P47/($H$15+P38+P38^2/$H$16+P38^3/($H$16*$H$17))</f>
        <v>0</v>
      </c>
      <c r="Q48" s="6" t="s">
        <v>51</v>
      </c>
    </row>
    <row r="49" spans="11:17" ht="18" customHeight="1" x14ac:dyDescent="0.3">
      <c r="K49" s="2" t="s">
        <v>142</v>
      </c>
      <c r="L49" s="27">
        <f>$H$16*L47/($H$15*$H$16/L38+$H$16+L38+(L38^2)/$H$17)</f>
        <v>2.4337535333788652E-5</v>
      </c>
      <c r="M49" s="6" t="s">
        <v>51</v>
      </c>
      <c r="O49" s="2" t="s">
        <v>142</v>
      </c>
      <c r="P49" s="20">
        <f>$H$16*P47/($H$15*$H$16/P38+$H$16+P38+(P38^2)/$H$17)</f>
        <v>0</v>
      </c>
      <c r="Q49" s="6" t="s">
        <v>51</v>
      </c>
    </row>
    <row r="50" spans="11:17" ht="18" customHeight="1" x14ac:dyDescent="0.3">
      <c r="K50" s="2" t="s">
        <v>143</v>
      </c>
      <c r="L50" s="27">
        <f>L47*$H$17/(L38+$H$17+$H$17*$H$16/L38+$H$17*$H$16*$H$15/(L38^2))</f>
        <v>9.9146319053462534E-4</v>
      </c>
      <c r="M50" s="6" t="s">
        <v>51</v>
      </c>
      <c r="O50" s="2" t="s">
        <v>143</v>
      </c>
      <c r="P50" s="20">
        <f>P47*$H$17/(P38+$H$17+$H$17*$H$16/P38+$H$17*$H$16*$H$15/(P38^2))</f>
        <v>0</v>
      </c>
      <c r="Q50" s="6" t="s">
        <v>51</v>
      </c>
    </row>
    <row r="51" spans="11:17" ht="18" customHeight="1" x14ac:dyDescent="0.3">
      <c r="K51" s="2" t="s">
        <v>144</v>
      </c>
      <c r="L51" s="20">
        <f>L47-L48-L49-L50</f>
        <v>3.2830431819018228E-7</v>
      </c>
      <c r="M51" s="6" t="s">
        <v>51</v>
      </c>
      <c r="O51" s="2" t="s">
        <v>144</v>
      </c>
      <c r="P51" s="20">
        <f>P47-P48-P49-P50</f>
        <v>0</v>
      </c>
      <c r="Q51" s="6" t="s">
        <v>51</v>
      </c>
    </row>
    <row r="52" spans="11:17" ht="18" customHeight="1" x14ac:dyDescent="0.3">
      <c r="K52" s="2" t="s">
        <v>145</v>
      </c>
      <c r="L52" s="24">
        <f>L15/$B$13*2/1000</f>
        <v>5.2479999999999999E-2</v>
      </c>
      <c r="M52" s="1" t="s">
        <v>51</v>
      </c>
      <c r="O52" s="2" t="s">
        <v>145</v>
      </c>
      <c r="P52" s="24">
        <f>P15/$B$13*2/1000</f>
        <v>8.0879999999999997E-3</v>
      </c>
      <c r="Q52" s="1" t="s">
        <v>51</v>
      </c>
    </row>
    <row r="53" spans="11:17" ht="18" customHeight="1" x14ac:dyDescent="0.3">
      <c r="K53" s="2" t="s">
        <v>146</v>
      </c>
      <c r="L53" s="24">
        <f>L52-SUM(L40:L43)-L39+L38-L46-L49-2*L48+L51</f>
        <v>3.861770411740939E-2</v>
      </c>
      <c r="M53" s="1" t="s">
        <v>51</v>
      </c>
      <c r="O53" s="2" t="s">
        <v>146</v>
      </c>
      <c r="P53" s="24">
        <f>P52-SUM(P40:P43)-P39+P38-P46-P49-2*P48+P51</f>
        <v>8.0877153950105855E-3</v>
      </c>
      <c r="Q53" s="1" t="s">
        <v>51</v>
      </c>
    </row>
    <row r="54" spans="11:17" ht="18" customHeight="1" x14ac:dyDescent="0.3">
      <c r="K54" s="2" t="s">
        <v>121</v>
      </c>
      <c r="L54" s="24">
        <f>L53*(L38+$H$13)/$H$13</f>
        <v>0.25578101320933733</v>
      </c>
      <c r="M54" s="1" t="s">
        <v>51</v>
      </c>
      <c r="O54" s="2" t="s">
        <v>121</v>
      </c>
      <c r="P54" s="24">
        <f>P53*(P38+$H$13)/$H$13</f>
        <v>8.6602817969302272E-3</v>
      </c>
      <c r="Q54" s="1" t="s">
        <v>51</v>
      </c>
    </row>
    <row r="55" spans="11:17" ht="18" customHeight="1" x14ac:dyDescent="0.3">
      <c r="K55" s="2" t="s">
        <v>147</v>
      </c>
      <c r="L55" s="24">
        <f>L54-L53</f>
        <v>0.21716330909192794</v>
      </c>
      <c r="M55" s="1" t="s">
        <v>51</v>
      </c>
      <c r="O55" s="2" t="s">
        <v>147</v>
      </c>
      <c r="P55" s="24">
        <f>P54-P53</f>
        <v>5.7256640191964171E-4</v>
      </c>
      <c r="Q55" s="1" t="s">
        <v>51</v>
      </c>
    </row>
    <row r="56" spans="11:17" ht="18" customHeight="1" x14ac:dyDescent="0.3">
      <c r="K56" s="2" t="s">
        <v>148</v>
      </c>
      <c r="L56" s="23">
        <f>L38-L39-L40-L41-L42-L43+L45-3*L48-2*L49-L50+L57-L53</f>
        <v>-3.8617714117409392E-2</v>
      </c>
      <c r="M56" s="1" t="s">
        <v>149</v>
      </c>
      <c r="O56" s="2" t="s">
        <v>148</v>
      </c>
      <c r="P56" s="23">
        <f>P38-P39-P40-P41-P42-P43+P45-3*P48-2*P49-P50+P57-P53</f>
        <v>-8.0877153950105855E-3</v>
      </c>
      <c r="Q56" s="1" t="s">
        <v>149</v>
      </c>
    </row>
    <row r="57" spans="11:17" ht="18" customHeight="1" x14ac:dyDescent="0.3">
      <c r="K57" s="2" t="s">
        <v>150</v>
      </c>
      <c r="L57" s="4">
        <v>9.7355577719915268E-3</v>
      </c>
      <c r="M57" s="1" t="s">
        <v>51</v>
      </c>
      <c r="O57" s="2" t="s">
        <v>150</v>
      </c>
      <c r="P57" s="4">
        <v>2.8460498941515519E-7</v>
      </c>
      <c r="Q57" s="1" t="s">
        <v>51</v>
      </c>
    </row>
    <row r="58" spans="11:17" ht="18" customHeight="1" x14ac:dyDescent="0.3">
      <c r="K58" s="2" t="s">
        <v>130</v>
      </c>
      <c r="L58" s="28">
        <v>0.02</v>
      </c>
      <c r="M58" s="1" t="s">
        <v>51</v>
      </c>
      <c r="O58" s="2" t="s">
        <v>130</v>
      </c>
      <c r="P58" s="28">
        <v>0.02</v>
      </c>
      <c r="Q58" s="1" t="s">
        <v>51</v>
      </c>
    </row>
    <row r="59" spans="11:17" ht="18" customHeight="1" x14ac:dyDescent="0.3">
      <c r="K59" s="2" t="s">
        <v>127</v>
      </c>
      <c r="L59" s="29">
        <f>L57+L58</f>
        <v>2.9735557771991529E-2</v>
      </c>
      <c r="M59" s="1" t="s">
        <v>51</v>
      </c>
      <c r="O59" s="2" t="s">
        <v>127</v>
      </c>
      <c r="P59" s="29">
        <f>P57+P58</f>
        <v>2.0000284604989416E-2</v>
      </c>
      <c r="Q59" s="1" t="s">
        <v>51</v>
      </c>
    </row>
    <row r="62" spans="11:17" ht="18" customHeight="1" x14ac:dyDescent="0.3">
      <c r="M62" s="36" t="s">
        <v>151</v>
      </c>
      <c r="N62" s="36"/>
      <c r="O62" s="36"/>
    </row>
    <row r="63" spans="11:17" ht="18" customHeight="1" x14ac:dyDescent="0.3">
      <c r="M63" s="2" t="s">
        <v>133</v>
      </c>
      <c r="N63" s="20">
        <f>(L38*$H$4/1000+P38*($H$2+$H$3)/1000)/($H$2+$H$3+$H$4)*1000</f>
        <v>1.3764768472628547E-6</v>
      </c>
      <c r="O63" s="1" t="s">
        <v>51</v>
      </c>
    </row>
    <row r="64" spans="11:17" ht="18" customHeight="1" x14ac:dyDescent="0.3">
      <c r="M64" s="2" t="s">
        <v>134</v>
      </c>
      <c r="N64" s="20">
        <f>$H$18/N63</f>
        <v>7.2649242302078335E-9</v>
      </c>
      <c r="O64" s="1" t="s">
        <v>51</v>
      </c>
    </row>
    <row r="65" spans="13:15" ht="18" customHeight="1" x14ac:dyDescent="0.3">
      <c r="M65" s="2" t="s">
        <v>135</v>
      </c>
      <c r="N65" s="20">
        <f>(L40*$H$4/1000+P40*($H$2+$H$3)/1000)/($H$2+$H$3+$H$4)*1000</f>
        <v>5.5608334308325253E-3</v>
      </c>
      <c r="O65" s="1" t="s">
        <v>51</v>
      </c>
    </row>
    <row r="66" spans="13:15" ht="18" customHeight="1" x14ac:dyDescent="0.3">
      <c r="M66" s="2" t="s">
        <v>136</v>
      </c>
      <c r="N66" s="20">
        <f t="shared" ref="N66" si="2">(L41*$H$4/1000+P41*($H$2+$H$3)/1000)/($H$2+$H$3+$H$4)*1000</f>
        <v>1.3290229589147319E-3</v>
      </c>
      <c r="O66" s="1" t="s">
        <v>51</v>
      </c>
    </row>
    <row r="67" spans="13:15" ht="18" customHeight="1" x14ac:dyDescent="0.3">
      <c r="M67" s="2" t="s">
        <v>137</v>
      </c>
      <c r="N67" s="20">
        <f>(L42*$H$4/1000+P42*($H$2+$H$3)/1000)/($H$2+$H$3+$H$4)*1000</f>
        <v>4.6768016116006722E-4</v>
      </c>
      <c r="O67" s="1" t="s">
        <v>51</v>
      </c>
    </row>
    <row r="68" spans="13:15" ht="18" customHeight="1" x14ac:dyDescent="0.3">
      <c r="M68" s="2" t="s">
        <v>138</v>
      </c>
      <c r="N68" s="20">
        <f>(L43*$H$4/1000+P43*($H$2+$H$3)/1000)/($H$2+$H$3+$H$4)*1000</f>
        <v>1.4662568517672547E-4</v>
      </c>
      <c r="O68" s="1" t="s">
        <v>51</v>
      </c>
    </row>
    <row r="69" spans="13:15" ht="18" customHeight="1" x14ac:dyDescent="0.3">
      <c r="M69" s="2" t="s">
        <v>139</v>
      </c>
      <c r="N69" s="20">
        <f>T28*N63/($H$14+N63)</f>
        <v>2.7874326599978652E-3</v>
      </c>
      <c r="O69" s="1" t="s">
        <v>51</v>
      </c>
    </row>
    <row r="70" spans="13:15" ht="18" customHeight="1" x14ac:dyDescent="0.3">
      <c r="M70" s="2" t="s">
        <v>140</v>
      </c>
      <c r="N70" s="20">
        <f>T28-N69</f>
        <v>1.1387685735640869E-6</v>
      </c>
      <c r="O70" s="1" t="s">
        <v>51</v>
      </c>
    </row>
    <row r="71" spans="13:15" ht="18" customHeight="1" x14ac:dyDescent="0.3">
      <c r="M71" s="2" t="s">
        <v>141</v>
      </c>
      <c r="N71" s="20">
        <f>$H$15*T29/($H$15+N63+N63^2/$H$16+N63^3/($H$16*$H$17))</f>
        <v>3.6684430081697759E-12</v>
      </c>
      <c r="O71" s="6" t="s">
        <v>51</v>
      </c>
    </row>
    <row r="72" spans="13:15" ht="18" customHeight="1" x14ac:dyDescent="0.3">
      <c r="M72" s="2" t="s">
        <v>142</v>
      </c>
      <c r="N72" s="20">
        <f>$H$16*T29/($H$15*$H$16/N63+$H$16+N63+(N63^2)/$H$17)</f>
        <v>2.3618411622184847E-5</v>
      </c>
      <c r="O72" s="6" t="s">
        <v>51</v>
      </c>
    </row>
    <row r="73" spans="13:15" ht="18" customHeight="1" x14ac:dyDescent="0.3">
      <c r="M73" s="2" t="s">
        <v>143</v>
      </c>
      <c r="N73" s="20">
        <f>T29*$H$17/(N63+$H$17+$H$17*$H$16/N63+$H$17*$H$16*$H$15/(N63^2))</f>
        <v>5.2725365383945869E-4</v>
      </c>
      <c r="O73" s="6" t="s">
        <v>51</v>
      </c>
    </row>
    <row r="74" spans="13:15" ht="18" customHeight="1" x14ac:dyDescent="0.3">
      <c r="M74" s="2" t="s">
        <v>144</v>
      </c>
      <c r="N74" s="20">
        <f>T29-N71-N72-N73</f>
        <v>9.5672805397201827E-8</v>
      </c>
      <c r="O74" s="6" t="s">
        <v>51</v>
      </c>
    </row>
    <row r="75" spans="13:15" ht="18" customHeight="1" x14ac:dyDescent="0.3">
      <c r="M75" s="2" t="s">
        <v>146</v>
      </c>
      <c r="N75" s="24">
        <f>T27*$H$13/($H$13+N63)</f>
        <v>3.4951111788072683E-2</v>
      </c>
      <c r="O75" s="1" t="s">
        <v>51</v>
      </c>
    </row>
    <row r="76" spans="13:15" ht="18" customHeight="1" x14ac:dyDescent="0.3">
      <c r="M76" s="2" t="s">
        <v>147</v>
      </c>
      <c r="N76" s="24">
        <f>T27-N75</f>
        <v>0.10770352215247388</v>
      </c>
      <c r="O76" s="1" t="s">
        <v>51</v>
      </c>
    </row>
    <row r="77" spans="13:15" ht="18" customHeight="1" x14ac:dyDescent="0.3">
      <c r="M77" s="2" t="s">
        <v>148</v>
      </c>
      <c r="N77" s="23">
        <f>N63-N64-N65-N66-N67-N68+N69-3*N71-2*N72-N73+N78-N75</f>
        <v>0</v>
      </c>
      <c r="O77" s="1" t="s">
        <v>149</v>
      </c>
    </row>
    <row r="78" spans="13:15" ht="18" customHeight="1" x14ac:dyDescent="0.3">
      <c r="M78" s="2" t="s">
        <v>150</v>
      </c>
      <c r="N78" s="4">
        <v>4.0240962640324993E-2</v>
      </c>
      <c r="O78" s="1" t="s">
        <v>51</v>
      </c>
    </row>
    <row r="79" spans="13:15" ht="18" customHeight="1" x14ac:dyDescent="0.3">
      <c r="M79" s="2" t="s">
        <v>130</v>
      </c>
      <c r="N79" s="28">
        <v>0.02</v>
      </c>
      <c r="O79" s="1" t="s">
        <v>51</v>
      </c>
    </row>
    <row r="80" spans="13:15" ht="18" customHeight="1" x14ac:dyDescent="0.3">
      <c r="M80" s="2" t="s">
        <v>127</v>
      </c>
      <c r="N80" s="29">
        <f>N78+N79</f>
        <v>6.0240962640324996E-2</v>
      </c>
      <c r="O80" s="1" t="s">
        <v>51</v>
      </c>
    </row>
  </sheetData>
  <mergeCells count="9">
    <mergeCell ref="S1:U1"/>
    <mergeCell ref="G8:I8"/>
    <mergeCell ref="K22:M22"/>
    <mergeCell ref="O22:Q22"/>
    <mergeCell ref="M62:O62"/>
    <mergeCell ref="A1:C1"/>
    <mergeCell ref="G1:I1"/>
    <mergeCell ref="K1:M1"/>
    <mergeCell ref="O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5596-D5A9-4302-943A-199F00186271}">
  <dimension ref="A1:U80"/>
  <sheetViews>
    <sheetView topLeftCell="B67" zoomScale="85" zoomScaleNormal="85" workbookViewId="0">
      <selection activeCell="Q77" sqref="Q77"/>
    </sheetView>
  </sheetViews>
  <sheetFormatPr defaultColWidth="8.88671875" defaultRowHeight="18" customHeight="1" x14ac:dyDescent="0.3"/>
  <cols>
    <col min="1" max="21" width="10.6640625" style="6" customWidth="1"/>
    <col min="22" max="16384" width="8.88671875" style="6"/>
  </cols>
  <sheetData>
    <row r="1" spans="1:21" ht="18" customHeight="1" x14ac:dyDescent="0.3">
      <c r="A1" s="37" t="s">
        <v>0</v>
      </c>
      <c r="B1" s="37"/>
      <c r="C1" s="37"/>
      <c r="G1" s="38" t="s">
        <v>1</v>
      </c>
      <c r="H1" s="38"/>
      <c r="I1" s="38"/>
      <c r="K1" s="38" t="s">
        <v>2</v>
      </c>
      <c r="L1" s="38"/>
      <c r="M1" s="38"/>
      <c r="N1" s="7"/>
      <c r="O1" s="38" t="s">
        <v>3</v>
      </c>
      <c r="P1" s="38"/>
      <c r="Q1" s="38"/>
      <c r="S1" s="35" t="s">
        <v>4</v>
      </c>
      <c r="T1" s="35"/>
      <c r="U1" s="35"/>
    </row>
    <row r="2" spans="1:21" ht="18" customHeight="1" x14ac:dyDescent="0.3">
      <c r="A2" s="2" t="s">
        <v>5</v>
      </c>
      <c r="B2" s="9">
        <f>32*6/180</f>
        <v>1.0666666666666667</v>
      </c>
      <c r="C2" s="3" t="s">
        <v>6</v>
      </c>
      <c r="D2" s="7" t="s">
        <v>7</v>
      </c>
      <c r="G2" s="2" t="s">
        <v>8</v>
      </c>
      <c r="H2" s="11">
        <v>457</v>
      </c>
      <c r="I2" s="7" t="s">
        <v>9</v>
      </c>
      <c r="K2" s="2" t="s">
        <v>10</v>
      </c>
      <c r="L2" s="11">
        <v>0</v>
      </c>
      <c r="M2" s="7" t="s">
        <v>11</v>
      </c>
      <c r="N2" s="7"/>
      <c r="O2" s="2" t="s">
        <v>10</v>
      </c>
      <c r="P2" s="11">
        <v>0</v>
      </c>
      <c r="Q2" s="7" t="s">
        <v>11</v>
      </c>
      <c r="S2" s="8" t="s">
        <v>12</v>
      </c>
      <c r="T2" s="7">
        <v>0</v>
      </c>
      <c r="U2" s="18" t="str">
        <f>CONCATENATE("batch_ac_f.Xsu_restart = (open.X_su*batch_ac_f.V_inoculum+",T2,"*batch_ac_f.V_add)/batch_ac_f.V_liq;")</f>
        <v>batch_ac_f.Xsu_restart = (open.X_su*batch_ac_f.V_inoculum+0*batch_ac_f.V_add)/batch_ac_f.V_liq;</v>
      </c>
    </row>
    <row r="3" spans="1:21" ht="18" customHeight="1" x14ac:dyDescent="0.3">
      <c r="A3" s="2" t="s">
        <v>13</v>
      </c>
      <c r="B3" s="9">
        <v>1.58</v>
      </c>
      <c r="C3" s="3" t="s">
        <v>14</v>
      </c>
      <c r="D3" s="7" t="s">
        <v>7</v>
      </c>
      <c r="G3" s="2" t="s">
        <v>15</v>
      </c>
      <c r="H3" s="10">
        <v>0</v>
      </c>
      <c r="I3" s="7" t="s">
        <v>9</v>
      </c>
      <c r="K3" s="2" t="s">
        <v>16</v>
      </c>
      <c r="L3" s="11">
        <v>0</v>
      </c>
      <c r="M3" s="7" t="s">
        <v>17</v>
      </c>
      <c r="N3" s="7"/>
      <c r="O3" s="2" t="s">
        <v>16</v>
      </c>
      <c r="P3" s="11">
        <v>0</v>
      </c>
      <c r="Q3" s="7" t="s">
        <v>17</v>
      </c>
      <c r="S3" s="8" t="s">
        <v>18</v>
      </c>
      <c r="T3" s="7">
        <v>0</v>
      </c>
      <c r="U3" s="18" t="str">
        <f>CONCATENATE("batch_ac_f.Xaa_restart = (open.X_aa*batch_ac_f.V_inoculum+",T3,"*batch_ac_f.V_add)/batch_ac_f.V_liq;")</f>
        <v>batch_ac_f.Xaa_restart = (open.X_aa*batch_ac_f.V_inoculum+0*batch_ac_f.V_add)/batch_ac_f.V_liq;</v>
      </c>
    </row>
    <row r="4" spans="1:21" ht="18" customHeight="1" x14ac:dyDescent="0.3">
      <c r="A4" s="2" t="s">
        <v>19</v>
      </c>
      <c r="B4" s="9">
        <v>1.53</v>
      </c>
      <c r="C4" s="3" t="s">
        <v>20</v>
      </c>
      <c r="D4" s="7" t="s">
        <v>7</v>
      </c>
      <c r="G4" s="5" t="s">
        <v>21</v>
      </c>
      <c r="H4" s="12">
        <v>4</v>
      </c>
      <c r="I4" s="7" t="s">
        <v>9</v>
      </c>
      <c r="K4" s="8" t="s">
        <v>22</v>
      </c>
      <c r="L4" s="14">
        <v>0</v>
      </c>
      <c r="M4" s="7" t="s">
        <v>23</v>
      </c>
      <c r="N4" s="7"/>
      <c r="O4" s="8" t="s">
        <v>22</v>
      </c>
      <c r="P4" s="14">
        <v>0</v>
      </c>
      <c r="Q4" s="7" t="s">
        <v>23</v>
      </c>
      <c r="S4" s="8" t="s">
        <v>24</v>
      </c>
      <c r="T4" s="7">
        <v>0</v>
      </c>
      <c r="U4" s="18" t="str">
        <f>CONCATENATE("batch_ac_f.Xfa_restart = (open.X_fa*batch_ac_f.V_inoculum+",T4,"*batch_ac_f.V_add)/batch_ac_f.V_liq;")</f>
        <v>batch_ac_f.Xfa_restart = (open.X_fa*batch_ac_f.V_inoculum+0*batch_ac_f.V_add)/batch_ac_f.V_liq;</v>
      </c>
    </row>
    <row r="5" spans="1:21" ht="18" customHeight="1" x14ac:dyDescent="0.3">
      <c r="A5" s="5" t="s">
        <v>25</v>
      </c>
      <c r="B5" s="9">
        <f>1/0.16</f>
        <v>6.25</v>
      </c>
      <c r="C5" s="3" t="s">
        <v>26</v>
      </c>
      <c r="D5" s="7" t="s">
        <v>7</v>
      </c>
      <c r="G5" s="5" t="s">
        <v>27</v>
      </c>
      <c r="H5" s="12">
        <f>SUM(H2:H4)</f>
        <v>461</v>
      </c>
      <c r="I5" s="7" t="s">
        <v>9</v>
      </c>
      <c r="K5" s="8" t="s">
        <v>28</v>
      </c>
      <c r="L5" s="15">
        <v>0</v>
      </c>
      <c r="M5" s="7" t="s">
        <v>29</v>
      </c>
      <c r="N5" s="7"/>
      <c r="O5" s="8" t="s">
        <v>28</v>
      </c>
      <c r="P5" s="15">
        <v>1</v>
      </c>
      <c r="Q5" s="7" t="s">
        <v>29</v>
      </c>
      <c r="S5" s="8" t="s">
        <v>30</v>
      </c>
      <c r="T5" s="7">
        <v>0</v>
      </c>
      <c r="U5" s="18" t="str">
        <f>CONCATENATE("batch_ac_f.Xc4_restart = (open.X_c4*batch_ac_f.V_inoculum+",T5,"*batch_ac_f.V_add)/batch_ac_f.V_liq;")</f>
        <v>batch_ac_f.Xc4_restart = (open.X_c4*batch_ac_f.V_inoculum+0*batch_ac_f.V_add)/batch_ac_f.V_liq;</v>
      </c>
    </row>
    <row r="6" spans="1:21" ht="18" customHeight="1" x14ac:dyDescent="0.3">
      <c r="A6" s="2" t="s">
        <v>31</v>
      </c>
      <c r="B6" s="9">
        <v>2.83</v>
      </c>
      <c r="C6" s="3" t="s">
        <v>32</v>
      </c>
      <c r="D6" s="7" t="s">
        <v>7</v>
      </c>
      <c r="H6" s="33"/>
      <c r="K6" s="8" t="s">
        <v>33</v>
      </c>
      <c r="L6" s="16">
        <v>0</v>
      </c>
      <c r="M6" s="7" t="s">
        <v>34</v>
      </c>
      <c r="N6" s="7"/>
      <c r="O6" s="8" t="s">
        <v>33</v>
      </c>
      <c r="P6" s="16">
        <v>0</v>
      </c>
      <c r="Q6" s="7" t="s">
        <v>34</v>
      </c>
      <c r="S6" s="8" t="s">
        <v>35</v>
      </c>
      <c r="T6" s="7">
        <v>0</v>
      </c>
      <c r="U6" s="18" t="str">
        <f>CONCATENATE("batch_ac_f.Xpro_restart = (open.X_pro*batch_ac_f.V_inoculum+",T6,"*batch_ac_f.V_add)/batch_ac_f.V_liq;")</f>
        <v>batch_ac_f.Xpro_restart = (open.X_pro*batch_ac_f.V_inoculum+0*batch_ac_f.V_add)/batch_ac_f.V_liq;</v>
      </c>
    </row>
    <row r="7" spans="1:21" ht="18" customHeight="1" x14ac:dyDescent="0.3">
      <c r="A7" s="8" t="s">
        <v>36</v>
      </c>
      <c r="B7" s="9">
        <f>273.15+25</f>
        <v>298.14999999999998</v>
      </c>
      <c r="C7" s="7" t="s">
        <v>37</v>
      </c>
      <c r="D7" s="7" t="s">
        <v>38</v>
      </c>
      <c r="K7" s="8" t="s">
        <v>39</v>
      </c>
      <c r="L7" s="15">
        <v>0</v>
      </c>
      <c r="M7" s="7" t="s">
        <v>40</v>
      </c>
      <c r="N7" s="7"/>
      <c r="O7" s="8" t="s">
        <v>39</v>
      </c>
      <c r="P7" s="15">
        <v>0</v>
      </c>
      <c r="Q7" s="7" t="s">
        <v>40</v>
      </c>
      <c r="S7" s="8" t="s">
        <v>41</v>
      </c>
      <c r="T7" s="7">
        <v>0</v>
      </c>
      <c r="U7" s="18" t="str">
        <f>CONCATENATE("batch_ac_f.Xac_restart = (open.X_ac*batch_ac_f.V_inoculum+",T7,"*batch_ac_f.V_add)/batch_ac_f.V_liq;")</f>
        <v>batch_ac_f.Xac_restart = (open.X_ac*batch_ac_f.V_inoculum+0*batch_ac_f.V_add)/batch_ac_f.V_liq;</v>
      </c>
    </row>
    <row r="8" spans="1:21" ht="18" customHeight="1" x14ac:dyDescent="0.3">
      <c r="A8" s="8" t="s">
        <v>42</v>
      </c>
      <c r="B8" s="9">
        <v>0.08</v>
      </c>
      <c r="C8" s="7" t="s">
        <v>43</v>
      </c>
      <c r="D8" s="7"/>
      <c r="G8" s="36" t="s">
        <v>44</v>
      </c>
      <c r="H8" s="36"/>
      <c r="I8" s="36"/>
      <c r="J8" s="6">
        <f>L8*H4/1000/SUM(H2+H4+H5)*1000</f>
        <v>0.36876355748373102</v>
      </c>
      <c r="K8" s="8" t="s">
        <v>45</v>
      </c>
      <c r="L8" s="16">
        <v>85</v>
      </c>
      <c r="M8" s="7" t="s">
        <v>46</v>
      </c>
      <c r="N8" s="7"/>
      <c r="O8" s="8" t="s">
        <v>45</v>
      </c>
      <c r="P8" s="16">
        <v>0</v>
      </c>
      <c r="Q8" s="7" t="s">
        <v>46</v>
      </c>
      <c r="S8" s="8" t="s">
        <v>47</v>
      </c>
      <c r="T8" s="7">
        <v>0</v>
      </c>
      <c r="U8" s="18" t="str">
        <f>CONCATENATE("batch_ac_f.Xh2_restart = (open.X_h2*batch_ac_f.V_inoculum+",T8,"*batch_ac_f.V_add)/batch_ac_f.V_liq;")</f>
        <v>batch_ac_f.Xh2_restart = (open.X_h2*batch_ac_f.V_inoculum+0*batch_ac_f.V_add)/batch_ac_f.V_liq;</v>
      </c>
    </row>
    <row r="9" spans="1:21" ht="18" customHeight="1" x14ac:dyDescent="0.3">
      <c r="A9" s="8" t="s">
        <v>48</v>
      </c>
      <c r="B9" s="17">
        <v>60</v>
      </c>
      <c r="C9" s="7" t="s">
        <v>49</v>
      </c>
      <c r="G9" s="8" t="s">
        <v>50</v>
      </c>
      <c r="H9" s="19">
        <f t="shared" ref="H9:H18" si="0">10^-B17</f>
        <v>1.7378008287493744E-5</v>
      </c>
      <c r="I9" s="7" t="s">
        <v>51</v>
      </c>
      <c r="K9" s="8" t="s">
        <v>52</v>
      </c>
      <c r="L9" s="16">
        <v>0</v>
      </c>
      <c r="M9" s="7" t="s">
        <v>46</v>
      </c>
      <c r="N9" s="7"/>
      <c r="O9" s="8" t="s">
        <v>52</v>
      </c>
      <c r="P9" s="16">
        <v>0</v>
      </c>
      <c r="Q9" s="7" t="s">
        <v>46</v>
      </c>
      <c r="S9" s="8" t="s">
        <v>53</v>
      </c>
      <c r="T9" s="7">
        <v>0</v>
      </c>
      <c r="U9" s="18" t="str">
        <f>CONCATENATE("batch_ac_f.Xc_restart = (open.X_c*batch_ac_f.V_inoculum+",T9,"*batch_ac_f.V_add)/batch_ac_f.V_liq;")</f>
        <v>batch_ac_f.Xc_restart = (open.X_c*batch_ac_f.V_inoculum+0*batch_ac_f.V_add)/batch_ac_f.V_liq;</v>
      </c>
    </row>
    <row r="10" spans="1:21" ht="18" customHeight="1" x14ac:dyDescent="0.3">
      <c r="A10" s="8" t="s">
        <v>54</v>
      </c>
      <c r="B10" s="17">
        <v>74</v>
      </c>
      <c r="C10" s="7" t="s">
        <v>49</v>
      </c>
      <c r="G10" s="8" t="s">
        <v>55</v>
      </c>
      <c r="H10" s="19">
        <f t="shared" si="0"/>
        <v>1.3182567385564052E-5</v>
      </c>
      <c r="I10" s="7" t="s">
        <v>51</v>
      </c>
      <c r="K10" s="8" t="s">
        <v>56</v>
      </c>
      <c r="L10" s="16">
        <v>0</v>
      </c>
      <c r="M10" s="7" t="s">
        <v>46</v>
      </c>
      <c r="N10" s="7"/>
      <c r="O10" s="8" t="s">
        <v>56</v>
      </c>
      <c r="P10" s="16">
        <v>0</v>
      </c>
      <c r="Q10" s="7" t="s">
        <v>46</v>
      </c>
      <c r="S10" s="8" t="s">
        <v>57</v>
      </c>
      <c r="T10" s="25">
        <f>(L28*$H$4/1000+P28*($H$2+$H$3)/1000)/($H$2+$H$3+$H$4)*1000</f>
        <v>0</v>
      </c>
      <c r="U10" s="18" t="str">
        <f>CONCATENATE("batch_ac_f.Xi_restart = (open.X_i*batch_ac_f.V_inoculum+",L27,"*batch_ac_f.V_add)/batch_ac_f.V_liq;")</f>
        <v>batch_ac_f.Xi_restart = (open.X_i*batch_ac_f.V_inoculum+0*batch_ac_f.V_add)/batch_ac_f.V_liq;</v>
      </c>
    </row>
    <row r="11" spans="1:21" ht="18" customHeight="1" x14ac:dyDescent="0.3">
      <c r="A11" s="8" t="s">
        <v>58</v>
      </c>
      <c r="B11" s="17">
        <v>88</v>
      </c>
      <c r="C11" s="7" t="s">
        <v>49</v>
      </c>
      <c r="G11" s="8" t="s">
        <v>59</v>
      </c>
      <c r="H11" s="19">
        <f t="shared" si="0"/>
        <v>1.5135612484362051E-5</v>
      </c>
      <c r="I11" s="7" t="s">
        <v>51</v>
      </c>
      <c r="K11" s="8" t="s">
        <v>60</v>
      </c>
      <c r="L11" s="16">
        <v>0</v>
      </c>
      <c r="M11" s="7" t="s">
        <v>46</v>
      </c>
      <c r="N11" s="7"/>
      <c r="O11" s="8" t="s">
        <v>60</v>
      </c>
      <c r="P11" s="16">
        <v>0</v>
      </c>
      <c r="Q11" s="7" t="s">
        <v>46</v>
      </c>
      <c r="S11" s="8" t="s">
        <v>61</v>
      </c>
      <c r="T11" s="25">
        <f>(L29*$H$4/1000+P29*($H$2+$H$3)/1000)/($H$2+$H$3+$H$4)*1000</f>
        <v>0</v>
      </c>
      <c r="U11" s="18" t="str">
        <f>CONCATENATE("batch_ac_f.Xch1_restart = (open.X_ch[1]*batch_ac_f.V_inoculum+",T11,"*batch_ac_f.V_add)/batch_ac_f.V_liq;")</f>
        <v>batch_ac_f.Xch1_restart = (open.X_ch[1]*batch_ac_f.V_inoculum+0*batch_ac_f.V_add)/batch_ac_f.V_liq;</v>
      </c>
    </row>
    <row r="12" spans="1:21" ht="18" customHeight="1" x14ac:dyDescent="0.3">
      <c r="A12" s="8" t="s">
        <v>62</v>
      </c>
      <c r="B12" s="17">
        <v>102</v>
      </c>
      <c r="C12" s="7" t="s">
        <v>49</v>
      </c>
      <c r="G12" s="8" t="s">
        <v>63</v>
      </c>
      <c r="H12" s="19">
        <f t="shared" si="0"/>
        <v>1.3803842646028827E-5</v>
      </c>
      <c r="I12" s="7" t="s">
        <v>51</v>
      </c>
      <c r="K12" s="8" t="s">
        <v>64</v>
      </c>
      <c r="L12" s="15">
        <v>0</v>
      </c>
      <c r="M12" s="7" t="s">
        <v>65</v>
      </c>
      <c r="N12" s="7"/>
      <c r="O12" s="8" t="s">
        <v>64</v>
      </c>
      <c r="P12" s="15">
        <v>0</v>
      </c>
      <c r="Q12" s="7" t="s">
        <v>65</v>
      </c>
      <c r="S12" s="8" t="s">
        <v>66</v>
      </c>
      <c r="T12" s="25">
        <f t="shared" ref="T12:T15" si="1">(L30*$H$4/1000+P30*($H$2+$H$3)/1000)/($H$2+$H$3+$H$4)*1000</f>
        <v>0</v>
      </c>
      <c r="U12" s="18" t="str">
        <f>CONCATENATE("batch_ac_f.Xch2_restart = (open.X_ch[2]*batch_ac_f.V_inoculum+",T12,"*batch_ac_f.V_add)/batch_ac_f.V_liq;")</f>
        <v>batch_ac_f.Xch2_restart = (open.X_ch[2]*batch_ac_f.V_inoculum+0*batch_ac_f.V_add)/batch_ac_f.V_liq;</v>
      </c>
    </row>
    <row r="13" spans="1:21" ht="18" customHeight="1" x14ac:dyDescent="0.3">
      <c r="A13" s="8" t="s">
        <v>67</v>
      </c>
      <c r="B13" s="17">
        <v>100</v>
      </c>
      <c r="C13" s="7" t="s">
        <v>49</v>
      </c>
      <c r="G13" s="8" t="s">
        <v>68</v>
      </c>
      <c r="H13" s="19">
        <f t="shared" si="0"/>
        <v>4.4668359215096327E-7</v>
      </c>
      <c r="I13" s="7" t="s">
        <v>51</v>
      </c>
      <c r="K13" s="8" t="s">
        <v>69</v>
      </c>
      <c r="L13" s="15">
        <v>0</v>
      </c>
      <c r="M13" s="7" t="s">
        <v>70</v>
      </c>
      <c r="N13" s="7"/>
      <c r="O13" s="8" t="s">
        <v>69</v>
      </c>
      <c r="P13" s="15">
        <v>0</v>
      </c>
      <c r="Q13" s="7" t="s">
        <v>70</v>
      </c>
      <c r="S13" s="8" t="s">
        <v>71</v>
      </c>
      <c r="T13" s="25">
        <f t="shared" si="1"/>
        <v>0</v>
      </c>
      <c r="U13" s="18" t="str">
        <f>CONCATENATE("batch_ac_f.Xpr1_restart = (open.X_pr[1]*batch_ac_f.V_inoculum+",T13,"*batch_ac_f.V_add)/batch_ac_f.V_liq;")</f>
        <v>batch_ac_f.Xpr1_restart = (open.X_pr[1]*batch_ac_f.V_inoculum+0*batch_ac_f.V_add)/batch_ac_f.V_liq;</v>
      </c>
    </row>
    <row r="14" spans="1:21" ht="18" customHeight="1" x14ac:dyDescent="0.3">
      <c r="A14" s="8" t="s">
        <v>72</v>
      </c>
      <c r="B14" s="17">
        <v>60</v>
      </c>
      <c r="C14" s="7" t="s">
        <v>49</v>
      </c>
      <c r="G14" s="8" t="s">
        <v>73</v>
      </c>
      <c r="H14" s="19">
        <f t="shared" si="0"/>
        <v>5.6234132519034889E-10</v>
      </c>
      <c r="I14" s="7" t="s">
        <v>51</v>
      </c>
      <c r="K14" s="8" t="s">
        <v>74</v>
      </c>
      <c r="L14" s="15">
        <v>7</v>
      </c>
      <c r="M14" s="7" t="s">
        <v>43</v>
      </c>
      <c r="N14" s="7"/>
      <c r="O14" s="8" t="s">
        <v>74</v>
      </c>
      <c r="P14" s="15">
        <v>7.6</v>
      </c>
      <c r="Q14" s="7" t="s">
        <v>43</v>
      </c>
      <c r="S14" s="8" t="s">
        <v>75</v>
      </c>
      <c r="T14" s="25">
        <f t="shared" si="1"/>
        <v>0</v>
      </c>
      <c r="U14" s="18" t="str">
        <f>CONCATENATE("batch_ac_f.Xpr2_restart = (open.X_pr[2]*batch_ac_f.V_inoculum+",T14,"*batch_ac_f.V_add)/batch_ac_f.V_liq;")</f>
        <v>batch_ac_f.Xpr2_restart = (open.X_pr[2]*batch_ac_f.V_inoculum+0*batch_ac_f.V_add)/batch_ac_f.V_liq;</v>
      </c>
    </row>
    <row r="15" spans="1:21" ht="18" customHeight="1" x14ac:dyDescent="0.3">
      <c r="A15" s="8" t="s">
        <v>76</v>
      </c>
      <c r="B15" s="17">
        <v>14</v>
      </c>
      <c r="C15" s="7" t="s">
        <v>49</v>
      </c>
      <c r="G15" s="8" t="s">
        <v>77</v>
      </c>
      <c r="H15" s="19">
        <f t="shared" si="0"/>
        <v>2.1379620895022253E-13</v>
      </c>
      <c r="I15" s="7" t="s">
        <v>51</v>
      </c>
      <c r="K15" s="8" t="s">
        <v>78</v>
      </c>
      <c r="L15" s="15">
        <v>0</v>
      </c>
      <c r="M15" s="7" t="s">
        <v>79</v>
      </c>
      <c r="N15" s="7"/>
      <c r="O15" s="8" t="s">
        <v>78</v>
      </c>
      <c r="P15" s="15">
        <v>404.4</v>
      </c>
      <c r="Q15" s="7" t="s">
        <v>79</v>
      </c>
      <c r="S15" s="8" t="s">
        <v>80</v>
      </c>
      <c r="T15" s="25">
        <f t="shared" si="1"/>
        <v>0</v>
      </c>
      <c r="U15" s="18" t="str">
        <f>CONCATENATE("batch_ac_f.Xli_restart = (open.X_li*batch_ac_f.V_inoculum+",T15,"*batch_ac_f.V_add)/batch_ac_f.V_liq;")</f>
        <v>batch_ac_f.Xli_restart = (open.X_li*batch_ac_f.V_inoculum+0*batch_ac_f.V_add)/batch_ac_f.V_liq;</v>
      </c>
    </row>
    <row r="16" spans="1:21" ht="18" customHeight="1" x14ac:dyDescent="0.3">
      <c r="A16" s="8" t="s">
        <v>81</v>
      </c>
      <c r="B16" s="17">
        <v>31</v>
      </c>
      <c r="C16" s="7" t="s">
        <v>49</v>
      </c>
      <c r="G16" s="8" t="s">
        <v>82</v>
      </c>
      <c r="H16" s="19">
        <f t="shared" si="0"/>
        <v>6.1659500186148087E-8</v>
      </c>
      <c r="I16" s="7" t="s">
        <v>51</v>
      </c>
      <c r="K16" s="8" t="s">
        <v>83</v>
      </c>
      <c r="L16" s="15">
        <v>0</v>
      </c>
      <c r="M16" s="7" t="s">
        <v>43</v>
      </c>
      <c r="N16" s="7"/>
      <c r="O16" s="8" t="s">
        <v>83</v>
      </c>
      <c r="P16" s="15">
        <v>0</v>
      </c>
      <c r="Q16" s="7" t="s">
        <v>43</v>
      </c>
      <c r="S16" s="8" t="s">
        <v>84</v>
      </c>
      <c r="T16" s="7">
        <v>0</v>
      </c>
      <c r="U16" s="18" t="str">
        <f>CONCATENATE("batch_ac_f.Xp_restart = (open.X_p*batch_ac_f.V_inoculum+",T16,"*batch_ac_f.V_add)/batch_ac_f.V_liq;")</f>
        <v>batch_ac_f.Xp_restart = (open.X_p*batch_ac_f.V_inoculum+0*batch_ac_f.V_add)/batch_ac_f.V_liq;</v>
      </c>
    </row>
    <row r="17" spans="1:21" ht="18" customHeight="1" x14ac:dyDescent="0.3">
      <c r="A17" s="8" t="s">
        <v>85</v>
      </c>
      <c r="B17" s="17">
        <v>4.76</v>
      </c>
      <c r="C17" s="7" t="s">
        <v>43</v>
      </c>
      <c r="G17" s="8" t="s">
        <v>86</v>
      </c>
      <c r="H17" s="19">
        <f t="shared" si="0"/>
        <v>7.5857757502918299E-3</v>
      </c>
      <c r="I17" s="7" t="s">
        <v>51</v>
      </c>
      <c r="K17" s="8" t="s">
        <v>87</v>
      </c>
      <c r="L17" s="15">
        <v>0</v>
      </c>
      <c r="M17" s="7" t="s">
        <v>43</v>
      </c>
      <c r="N17" s="7"/>
      <c r="O17" s="8" t="s">
        <v>87</v>
      </c>
      <c r="P17" s="15">
        <v>0</v>
      </c>
      <c r="Q17" s="7" t="s">
        <v>43</v>
      </c>
      <c r="S17" s="8" t="s">
        <v>88</v>
      </c>
      <c r="T17" s="7">
        <v>0</v>
      </c>
      <c r="U17" s="18" t="str">
        <f>CONCATENATE("batch_ac_f.Si_restart = (open.S_i*batch_ac_f.V_inoculum+",T17,"*batch_ac_f.V_add)/batch_ac_f.V_liq;")</f>
        <v>batch_ac_f.Si_restart = (open.S_i*batch_ac_f.V_inoculum+0*batch_ac_f.V_add)/batch_ac_f.V_liq;</v>
      </c>
    </row>
    <row r="18" spans="1:21" ht="18" customHeight="1" x14ac:dyDescent="0.3">
      <c r="A18" s="8" t="s">
        <v>89</v>
      </c>
      <c r="B18" s="17">
        <v>4.88</v>
      </c>
      <c r="C18" s="7" t="s">
        <v>43</v>
      </c>
      <c r="G18" s="8" t="s">
        <v>90</v>
      </c>
      <c r="H18" s="19">
        <f t="shared" si="0"/>
        <v>1E-14</v>
      </c>
      <c r="I18" s="7" t="s">
        <v>91</v>
      </c>
      <c r="K18" s="8" t="s">
        <v>92</v>
      </c>
      <c r="L18" s="15">
        <v>0</v>
      </c>
      <c r="M18" s="7" t="s">
        <v>43</v>
      </c>
      <c r="N18" s="7"/>
      <c r="O18" s="8" t="s">
        <v>92</v>
      </c>
      <c r="P18" s="15">
        <v>0</v>
      </c>
      <c r="Q18" s="7" t="s">
        <v>43</v>
      </c>
      <c r="S18" s="8" t="s">
        <v>93</v>
      </c>
      <c r="T18" s="7">
        <v>0</v>
      </c>
      <c r="U18" s="18" t="str">
        <f>CONCATENATE("batch_ac_f.Ssu_restart = (open.S_su*batch_ac_f.V_inoculum+",T18,"*batch_ac_f.V_add)/batch_ac_f.V_liq;")</f>
        <v>batch_ac_f.Ssu_restart = (open.S_su*batch_ac_f.V_inoculum+0*batch_ac_f.V_add)/batch_ac_f.V_liq;</v>
      </c>
    </row>
    <row r="19" spans="1:21" ht="18" customHeight="1" x14ac:dyDescent="0.3">
      <c r="A19" s="8" t="s">
        <v>94</v>
      </c>
      <c r="B19" s="17">
        <v>4.82</v>
      </c>
      <c r="C19" s="7" t="s">
        <v>43</v>
      </c>
      <c r="K19" s="8" t="s">
        <v>95</v>
      </c>
      <c r="L19" s="15">
        <v>0</v>
      </c>
      <c r="M19" s="7" t="s">
        <v>43</v>
      </c>
      <c r="N19" s="7"/>
      <c r="O19" s="8" t="s">
        <v>95</v>
      </c>
      <c r="P19" s="15">
        <v>0</v>
      </c>
      <c r="Q19" s="7" t="s">
        <v>43</v>
      </c>
      <c r="S19" s="8" t="s">
        <v>93</v>
      </c>
      <c r="T19" s="7">
        <v>0</v>
      </c>
      <c r="U19" s="18" t="str">
        <f>CONCATENATE("batch_ac_f.Saa_restart = (open.S_aa*batch_ac_f.V_inoculum+",T19,"*batch_ac_f.V_add)/batch_ac_f.V_liq;")</f>
        <v>batch_ac_f.Saa_restart = (open.S_aa*batch_ac_f.V_inoculum+0*batch_ac_f.V_add)/batch_ac_f.V_liq;</v>
      </c>
    </row>
    <row r="20" spans="1:21" ht="18" customHeight="1" x14ac:dyDescent="0.3">
      <c r="A20" s="8" t="s">
        <v>96</v>
      </c>
      <c r="B20" s="17">
        <v>4.8600000000000003</v>
      </c>
      <c r="C20" s="7" t="s">
        <v>43</v>
      </c>
      <c r="K20" s="8" t="s">
        <v>97</v>
      </c>
      <c r="L20" s="15">
        <v>0</v>
      </c>
      <c r="M20" s="7" t="s">
        <v>43</v>
      </c>
      <c r="N20" s="7"/>
      <c r="O20" s="8" t="s">
        <v>97</v>
      </c>
      <c r="P20" s="15">
        <v>0</v>
      </c>
      <c r="Q20" s="7" t="s">
        <v>43</v>
      </c>
      <c r="S20" s="8" t="s">
        <v>98</v>
      </c>
      <c r="T20" s="7">
        <v>0</v>
      </c>
      <c r="U20" s="18" t="str">
        <f>CONCATENATE("batch_ac_f.Sfa_restart = (open.S_fa*batch_ac_f.V_inoculum+",T20,"*batch_ac_f.V_add)/batch_ac_f.V_liq;")</f>
        <v>batch_ac_f.Sfa_restart = (open.S_fa*batch_ac_f.V_inoculum+0*batch_ac_f.V_add)/batch_ac_f.V_liq;</v>
      </c>
    </row>
    <row r="21" spans="1:21" ht="18" customHeight="1" x14ac:dyDescent="0.3">
      <c r="A21" s="8" t="s">
        <v>99</v>
      </c>
      <c r="B21" s="17">
        <v>6.35</v>
      </c>
      <c r="C21" s="7" t="s">
        <v>43</v>
      </c>
      <c r="K21" s="7"/>
      <c r="L21" s="7"/>
      <c r="M21" s="7"/>
      <c r="N21" s="7"/>
      <c r="O21" s="7"/>
      <c r="P21" s="7"/>
      <c r="S21" s="8" t="s">
        <v>100</v>
      </c>
      <c r="T21" s="25">
        <f>(L11*$H$4/1000+P11*($H$2+$H$3)/1000)/($H$2+$H$3+$H$4)*1000</f>
        <v>0</v>
      </c>
      <c r="U21" s="18" t="str">
        <f>CONCATENATE("batch_ac_f.Sva_restart = (open.S_va*batch_ac_f.V_inoculum+",T21,"*batch_ac_f.V_add)/batch_ac_f.V_liq;")</f>
        <v>batch_ac_f.Sva_restart = (open.S_va*batch_ac_f.V_inoculum+0*batch_ac_f.V_add)/batch_ac_f.V_liq;</v>
      </c>
    </row>
    <row r="22" spans="1:21" ht="18" customHeight="1" x14ac:dyDescent="0.3">
      <c r="A22" s="8" t="s">
        <v>101</v>
      </c>
      <c r="B22" s="17">
        <v>9.25</v>
      </c>
      <c r="C22" s="7" t="s">
        <v>43</v>
      </c>
      <c r="K22" s="36" t="s">
        <v>102</v>
      </c>
      <c r="L22" s="36"/>
      <c r="M22" s="36"/>
      <c r="N22" s="7"/>
      <c r="O22" s="36" t="s">
        <v>103</v>
      </c>
      <c r="P22" s="36"/>
      <c r="Q22" s="36"/>
      <c r="S22" s="8" t="s">
        <v>104</v>
      </c>
      <c r="T22" s="25">
        <f>(L10*$H$4/1000+P10*($H$2+$H$3)/1000)/($H$2+$H$3+$H$4)*1000</f>
        <v>0</v>
      </c>
      <c r="U22" s="18" t="str">
        <f>CONCATENATE("batch_ac_f.Sbu_restart = (open.S_bu*batch_ac_f.V_inoculum+",T22,"*batch_ac_f.V_add)/batch_ac_f.V_liq;")</f>
        <v>batch_ac_f.Sbu_restart = (open.S_bu*batch_ac_f.V_inoculum+0*batch_ac_f.V_add)/batch_ac_f.V_liq;</v>
      </c>
    </row>
    <row r="23" spans="1:21" ht="18" customHeight="1" x14ac:dyDescent="0.3">
      <c r="A23" s="8" t="s">
        <v>105</v>
      </c>
      <c r="B23" s="17">
        <v>12.67</v>
      </c>
      <c r="C23" s="7" t="s">
        <v>43</v>
      </c>
      <c r="E23" s="7"/>
      <c r="F23" s="7"/>
      <c r="G23" s="7"/>
      <c r="H23" s="7"/>
      <c r="I23" s="7"/>
      <c r="K23" s="8" t="s">
        <v>106</v>
      </c>
      <c r="L23" s="13">
        <f>$L$5*$L$3*$L$4/1000/1000*$B$2</f>
        <v>0</v>
      </c>
      <c r="M23" s="7" t="s">
        <v>107</v>
      </c>
      <c r="N23" s="7"/>
      <c r="O23" s="8" t="s">
        <v>106</v>
      </c>
      <c r="P23" s="13">
        <f>$P$5*$P$3*$P$4/1000/1000*$B$2</f>
        <v>0</v>
      </c>
      <c r="Q23" s="7" t="s">
        <v>107</v>
      </c>
      <c r="S23" s="8" t="s">
        <v>108</v>
      </c>
      <c r="T23" s="25">
        <f>(L9*$H$4/1000+P9*($H$2+$H$3)/1000)/($H$2+$H$3+$H$4)*1000</f>
        <v>0</v>
      </c>
      <c r="U23" s="18" t="str">
        <f>CONCATENATE("batch_ac_f.Spro_restart = (open.S_pro*batch_ac_f.V_inoculum+",T23,"*batch_ac_f.V_add)/batch_ac_f.V_liq;")</f>
        <v>batch_ac_f.Spro_restart = (open.S_pro*batch_ac_f.V_inoculum+0*batch_ac_f.V_add)/batch_ac_f.V_liq;</v>
      </c>
    </row>
    <row r="24" spans="1:21" ht="18" customHeight="1" x14ac:dyDescent="0.3">
      <c r="A24" s="8" t="s">
        <v>109</v>
      </c>
      <c r="B24" s="17">
        <v>7.21</v>
      </c>
      <c r="C24" s="7" t="s">
        <v>43</v>
      </c>
      <c r="E24" s="7"/>
      <c r="F24" s="7"/>
      <c r="G24" s="7"/>
      <c r="H24" s="7"/>
      <c r="I24" s="7"/>
      <c r="K24" s="8" t="s">
        <v>110</v>
      </c>
      <c r="L24" s="13">
        <f>$L$6*L3*$L$4/1000/1000*B4*B5</f>
        <v>0</v>
      </c>
      <c r="M24" s="7" t="s">
        <v>107</v>
      </c>
      <c r="N24" s="7"/>
      <c r="O24" s="8" t="s">
        <v>110</v>
      </c>
      <c r="P24" s="13">
        <f>$P$6*P3*$P$4/1000/1000*B4*B5</f>
        <v>0</v>
      </c>
      <c r="Q24" s="7" t="s">
        <v>107</v>
      </c>
      <c r="S24" s="8" t="s">
        <v>111</v>
      </c>
      <c r="T24" s="25">
        <f>(L8*$H$4/1000+P8*($H$2+$H$3)/1000)/($H$2+$H$3+$H$4)*1000</f>
        <v>0.73752711496746204</v>
      </c>
      <c r="U24" s="18" t="str">
        <f>CONCATENATE("batch_ac_f.Sac_restart = (open.S_ac*batch_ac_f.V_inoculum+",T24,"*batch_ac_f.V_add)/batch_ac_f.V_liq;")</f>
        <v>batch_ac_f.Sac_restart = (open.S_ac*batch_ac_f.V_inoculum+0.737527114967462*batch_ac_f.V_add)/batch_ac_f.V_liq;</v>
      </c>
    </row>
    <row r="25" spans="1:21" ht="18" customHeight="1" x14ac:dyDescent="0.3">
      <c r="A25" s="8" t="s">
        <v>112</v>
      </c>
      <c r="B25" s="17">
        <v>2.12</v>
      </c>
      <c r="C25" s="7" t="s">
        <v>43</v>
      </c>
      <c r="E25" s="7"/>
      <c r="F25" s="7"/>
      <c r="G25" s="7"/>
      <c r="H25" s="7"/>
      <c r="I25" s="7"/>
      <c r="K25" s="8" t="s">
        <v>113</v>
      </c>
      <c r="L25" s="13">
        <f>$L$7*L3*$L$4/1000/1000*B6</f>
        <v>0</v>
      </c>
      <c r="M25" s="7" t="s">
        <v>107</v>
      </c>
      <c r="N25" s="7"/>
      <c r="O25" s="8" t="s">
        <v>113</v>
      </c>
      <c r="P25" s="13">
        <f>$P$7*P3*$P$4/1000/1000*B6</f>
        <v>0</v>
      </c>
      <c r="Q25" s="7" t="s">
        <v>107</v>
      </c>
      <c r="S25" s="8" t="s">
        <v>114</v>
      </c>
      <c r="T25" s="7">
        <v>0</v>
      </c>
      <c r="U25" s="18" t="str">
        <f>CONCATENATE("batch_ac_f.Sh2_restart = (open.S_h2*batch_ac_f.V_inoculum+",T25,"*batch_ac_f.V_add)/batch_ac_f.V_liq;")</f>
        <v>batch_ac_f.Sh2_restart = (open.S_h2*batch_ac_f.V_inoculum+0*batch_ac_f.V_add)/batch_ac_f.V_liq;</v>
      </c>
    </row>
    <row r="26" spans="1:21" ht="18" customHeight="1" x14ac:dyDescent="0.3">
      <c r="A26" s="8" t="s">
        <v>115</v>
      </c>
      <c r="B26" s="17">
        <v>14</v>
      </c>
      <c r="C26" s="7" t="s">
        <v>43</v>
      </c>
      <c r="E26" s="7"/>
      <c r="F26" s="7"/>
      <c r="G26" s="7"/>
      <c r="H26" s="7"/>
      <c r="I26" s="7"/>
      <c r="K26" s="8" t="s">
        <v>116</v>
      </c>
      <c r="L26" s="13">
        <f>IF(L3=0,0,SUM(L23:L25,L8:L11))</f>
        <v>0</v>
      </c>
      <c r="M26" s="7" t="s">
        <v>107</v>
      </c>
      <c r="N26" s="7"/>
      <c r="O26" s="8" t="s">
        <v>116</v>
      </c>
      <c r="P26" s="13">
        <f>IF(P3=0,0,SUM(P23:P25,P8:P11))</f>
        <v>0</v>
      </c>
      <c r="Q26" s="7" t="s">
        <v>107</v>
      </c>
      <c r="S26" s="8" t="s">
        <v>117</v>
      </c>
      <c r="T26" s="7">
        <v>0</v>
      </c>
      <c r="U26" s="18" t="str">
        <f>CONCATENATE("batch_ac_f.Sch4_restart = (open.S_ch4*batch_ac_f.V_inoculum+",T26,"*batch_ac_f.V_add)/batch_ac_f.V_liq;")</f>
        <v>batch_ac_f.Sch4_restart = (open.S_ch4*batch_ac_f.V_inoculum+0*batch_ac_f.V_add)/batch_ac_f.V_liq;</v>
      </c>
    </row>
    <row r="27" spans="1:21" ht="18" customHeight="1" x14ac:dyDescent="0.3">
      <c r="A27" s="8" t="s">
        <v>118</v>
      </c>
      <c r="B27" s="17">
        <v>64</v>
      </c>
      <c r="C27" s="7" t="s">
        <v>119</v>
      </c>
      <c r="E27" s="7"/>
      <c r="F27" s="7"/>
      <c r="G27" s="7"/>
      <c r="H27" s="7"/>
      <c r="I27" s="7"/>
      <c r="K27" s="8" t="s">
        <v>120</v>
      </c>
      <c r="L27" s="13">
        <f>IF(L3=0,0,$L$2*$L$3*$L$4/1000/$L$26/(350*(1-$B$8)))</f>
        <v>0</v>
      </c>
      <c r="M27" s="7" t="s">
        <v>43</v>
      </c>
      <c r="N27" s="7"/>
      <c r="O27" s="8" t="s">
        <v>120</v>
      </c>
      <c r="P27" s="13">
        <f>IF(P3=0,0,$P$2*$P$3*$P$4/1000/$P$26/(350*(1-$B$8)))</f>
        <v>0</v>
      </c>
      <c r="Q27" s="7" t="s">
        <v>43</v>
      </c>
      <c r="S27" s="8" t="s">
        <v>121</v>
      </c>
      <c r="T27" s="25">
        <f>IF(L15=0,(P54*($H$2+$H$3)/1000)/($H$2+$H$3+$H$4)*1000,(L54*$H$4/1000+P54*($H$2+$H$3)/1000)/($H$2+$H$3+$H$4)*1000)</f>
        <v>8.4683068531042939E-3</v>
      </c>
      <c r="U27" s="18" t="str">
        <f>CONCATENATE("batch_ac_f.Sic_restart = (open.S_ic*batch_ac_f.V_inoculum+",T27,"*batch_ac_f.V_add)/batch_ac_f.V_liq;")</f>
        <v>batch_ac_f.Sic_restart = (open.S_ic*batch_ac_f.V_inoculum+0.00846830685310429*batch_ac_f.V_add)/batch_ac_f.V_liq;</v>
      </c>
    </row>
    <row r="28" spans="1:21" ht="18" customHeight="1" x14ac:dyDescent="0.3">
      <c r="A28" s="8" t="s">
        <v>122</v>
      </c>
      <c r="B28" s="17">
        <v>112</v>
      </c>
      <c r="C28" s="7" t="s">
        <v>119</v>
      </c>
      <c r="E28" s="7"/>
      <c r="F28" s="7"/>
      <c r="G28" s="7"/>
      <c r="H28" s="7"/>
      <c r="I28" s="7"/>
      <c r="K28" s="8" t="s">
        <v>57</v>
      </c>
      <c r="L28" s="26">
        <f>(1-$L$27)*$L$26</f>
        <v>0</v>
      </c>
      <c r="M28" s="7" t="s">
        <v>107</v>
      </c>
      <c r="O28" s="8" t="s">
        <v>57</v>
      </c>
      <c r="P28" s="26">
        <f>(1-$P$27)*$P$26</f>
        <v>0</v>
      </c>
      <c r="Q28" s="7" t="s">
        <v>107</v>
      </c>
      <c r="S28" s="22" t="s">
        <v>123</v>
      </c>
      <c r="T28" s="25">
        <f>(L44*$H$4/1000+P44*($H$2+$H$3)/1000)/($H$2+$H$3+$H$4)*1000</f>
        <v>0</v>
      </c>
      <c r="U28" s="18" t="str">
        <f>CONCATENATE("batch_ac_f.Sin_restart = (open.S_in*batch_ac_f.V_inoculum+",T28,"*batch_ac_f.V_add)/batch_ac_f.V_liq;")</f>
        <v>batch_ac_f.Sin_restart = (open.S_in*batch_ac_f.V_inoculum+0*batch_ac_f.V_add)/batch_ac_f.V_liq;</v>
      </c>
    </row>
    <row r="29" spans="1:21" ht="18" customHeight="1" x14ac:dyDescent="0.3">
      <c r="A29" s="8" t="s">
        <v>124</v>
      </c>
      <c r="B29" s="17">
        <v>160</v>
      </c>
      <c r="C29" s="7" t="s">
        <v>119</v>
      </c>
      <c r="E29" s="7"/>
      <c r="F29" s="7"/>
      <c r="G29" s="7"/>
      <c r="H29" s="7"/>
      <c r="I29" s="7"/>
      <c r="K29" s="8" t="s">
        <v>61</v>
      </c>
      <c r="L29" s="26">
        <f>(1-$L$19)*($L$23-$L$28*$L$16)</f>
        <v>0</v>
      </c>
      <c r="M29" s="7" t="s">
        <v>107</v>
      </c>
      <c r="O29" s="8" t="s">
        <v>61</v>
      </c>
      <c r="P29" s="26">
        <f>(1-$P$19)*($P$23-$P$28*$P$16)</f>
        <v>0</v>
      </c>
      <c r="Q29" s="7" t="s">
        <v>107</v>
      </c>
      <c r="S29" s="8" t="s">
        <v>125</v>
      </c>
      <c r="T29" s="25">
        <f>(L47*$H$4/1000+P47*($H$2+$H$3)/1000)/($H$2+$H$3+$H$4)*1000</f>
        <v>0</v>
      </c>
      <c r="U29" s="18" t="str">
        <f>CONCATENATE("batch_ac_f.Sip_restart = (open.S_ip*batch_ac_f.V_inoculum+",T29,"*batch_ac_f.V_add)/batch_ac_f.V_liq;")</f>
        <v>batch_ac_f.Sip_restart = (open.S_ip*batch_ac_f.V_inoculum+0*batch_ac_f.V_add)/batch_ac_f.V_liq;</v>
      </c>
    </row>
    <row r="30" spans="1:21" ht="18" customHeight="1" x14ac:dyDescent="0.3">
      <c r="A30" s="8" t="s">
        <v>126</v>
      </c>
      <c r="B30" s="17">
        <v>208</v>
      </c>
      <c r="C30" s="7" t="s">
        <v>119</v>
      </c>
      <c r="K30" s="8" t="s">
        <v>66</v>
      </c>
      <c r="L30" s="26">
        <f>($L$19)*($L$23-$L$28*$L$16)</f>
        <v>0</v>
      </c>
      <c r="M30" s="7" t="s">
        <v>107</v>
      </c>
      <c r="O30" s="8" t="s">
        <v>66</v>
      </c>
      <c r="P30" s="26">
        <f>($P$19)*($P$23-$P$28*$P$16)</f>
        <v>0</v>
      </c>
      <c r="Q30" s="7" t="s">
        <v>107</v>
      </c>
      <c r="S30" s="8" t="s">
        <v>127</v>
      </c>
      <c r="T30" s="25">
        <f>N80</f>
        <v>5.9464716556479953E-2</v>
      </c>
      <c r="U30" s="18" t="str">
        <f>CONCATENATE("batch_ac_f.Scat_restart = (open.S_cat*batch_ac_f.V_inoculum+",T30,"*batch_ac_f.V_add)/batch_ac_f.V_liq;")</f>
        <v>batch_ac_f.Scat_restart = (open.S_cat*batch_ac_f.V_inoculum+0.05946471655648*batch_ac_f.V_add)/batch_ac_f.V_liq;</v>
      </c>
    </row>
    <row r="31" spans="1:21" ht="18" customHeight="1" x14ac:dyDescent="0.3">
      <c r="K31" s="8" t="s">
        <v>71</v>
      </c>
      <c r="L31" s="26">
        <f>(1-$L$20)*($L$24-$L$28*$L$17)</f>
        <v>0</v>
      </c>
      <c r="M31" s="7" t="s">
        <v>107</v>
      </c>
      <c r="O31" s="8" t="s">
        <v>71</v>
      </c>
      <c r="P31" s="26">
        <f>(1-$P$20)*($P$24-$P$28*$P$17)</f>
        <v>0</v>
      </c>
      <c r="Q31" s="7" t="s">
        <v>107</v>
      </c>
      <c r="S31" s="8" t="s">
        <v>128</v>
      </c>
      <c r="T31" s="25">
        <v>0</v>
      </c>
      <c r="U31" s="18" t="str">
        <f>CONCATENATE("batch_ac_f.Sca_restart = (open.S_ca*batch_ac_f.V_inoculum+",T31,"*batch_ac_f.V_add)/batch_ac_f.V_liq;")</f>
        <v>batch_ac_f.Sca_restart = (open.S_ca*batch_ac_f.V_inoculum+0*batch_ac_f.V_add)/batch_ac_f.V_liq;</v>
      </c>
    </row>
    <row r="32" spans="1:21" ht="18" customHeight="1" x14ac:dyDescent="0.3">
      <c r="K32" s="8" t="s">
        <v>75</v>
      </c>
      <c r="L32" s="26">
        <f>($L$20)*($L$24-$L$28*$L$17)</f>
        <v>0</v>
      </c>
      <c r="M32" s="7" t="s">
        <v>107</v>
      </c>
      <c r="O32" s="8" t="s">
        <v>75</v>
      </c>
      <c r="P32" s="26">
        <f>($P$20)*($P$24-$P$28*$P$17)</f>
        <v>0</v>
      </c>
      <c r="Q32" s="7" t="s">
        <v>107</v>
      </c>
      <c r="S32" s="8" t="s">
        <v>129</v>
      </c>
      <c r="T32" s="25">
        <v>0</v>
      </c>
      <c r="U32" s="18" t="str">
        <f>CONCATENATE("batch_ac_f.Smg_restart = (open.S_mg*batch_ac_f.V_inoculum+",T32,"*batch_ac_f.V_add)/batch_ac_f.V_liq;")</f>
        <v>batch_ac_f.Smg_restart = (open.S_mg*batch_ac_f.V_inoculum+0*batch_ac_f.V_add)/batch_ac_f.V_liq;</v>
      </c>
    </row>
    <row r="33" spans="1:21" ht="18" customHeight="1" x14ac:dyDescent="0.3">
      <c r="K33" s="8" t="s">
        <v>80</v>
      </c>
      <c r="L33" s="26">
        <f>($L$25-$L$28*$L$18)</f>
        <v>0</v>
      </c>
      <c r="M33" s="7" t="s">
        <v>107</v>
      </c>
      <c r="O33" s="8" t="s">
        <v>80</v>
      </c>
      <c r="P33" s="26">
        <f>($P$25-$P$28*$P$18)</f>
        <v>0</v>
      </c>
      <c r="Q33" s="7" t="s">
        <v>107</v>
      </c>
      <c r="S33" s="8" t="s">
        <v>130</v>
      </c>
      <c r="T33" s="25">
        <f>N79</f>
        <v>0.04</v>
      </c>
      <c r="U33" s="18" t="str">
        <f>CONCATENATE("batch_ac_f.San_restart = (open.S_an*batch_ac_f.V_inoculum+",T33,"*batch_ac_f.V_add)/batch_ac_f.V_liq;")</f>
        <v>batch_ac_f.San_restart = (open.S_an*batch_ac_f.V_inoculum+0.04*batch_ac_f.V_add)/batch_ac_f.V_liq;</v>
      </c>
    </row>
    <row r="34" spans="1:21" ht="18" customHeight="1" x14ac:dyDescent="0.3">
      <c r="K34" s="8" t="s">
        <v>100</v>
      </c>
      <c r="L34" s="13">
        <f>L11</f>
        <v>0</v>
      </c>
      <c r="M34" s="7" t="s">
        <v>107</v>
      </c>
      <c r="O34" s="8" t="s">
        <v>100</v>
      </c>
      <c r="P34" s="13">
        <f>P11</f>
        <v>0</v>
      </c>
      <c r="Q34" s="7" t="s">
        <v>107</v>
      </c>
      <c r="S34" s="8" t="s">
        <v>131</v>
      </c>
      <c r="T34" s="7">
        <v>0</v>
      </c>
      <c r="U34" s="18" t="str">
        <f>CONCATENATE("batch_ac_f.ash_restart = (open.ash*batch_ac_f.V_inoculum+",T34,"*batch_ac_f.V_add)/batch_ac_f.V_liq;")</f>
        <v>batch_ac_f.ash_restart = (open.ash*batch_ac_f.V_inoculum+0*batch_ac_f.V_add)/batch_ac_f.V_liq;</v>
      </c>
    </row>
    <row r="35" spans="1:21" ht="18" customHeight="1" x14ac:dyDescent="0.3">
      <c r="A35" s="2"/>
      <c r="K35" s="8" t="s">
        <v>104</v>
      </c>
      <c r="L35" s="13">
        <f>L10</f>
        <v>0</v>
      </c>
      <c r="M35" s="7" t="s">
        <v>107</v>
      </c>
      <c r="O35" s="8" t="s">
        <v>104</v>
      </c>
      <c r="P35" s="13">
        <f>P10</f>
        <v>0</v>
      </c>
      <c r="Q35" s="7" t="s">
        <v>107</v>
      </c>
      <c r="S35" s="8" t="s">
        <v>132</v>
      </c>
      <c r="T35" s="7">
        <v>0</v>
      </c>
      <c r="U35" s="18" t="str">
        <f>CONCATENATE("batch_ac_f.Xlig_restart = (open.X_lig*batch_ac_f.V_inoculum+",T35,"*batch_ac_f.V_add)/batch_ac_f.V_liq;")</f>
        <v>batch_ac_f.Xlig_restart = (open.X_lig*batch_ac_f.V_inoculum+0*batch_ac_f.V_add)/batch_ac_f.V_liq;</v>
      </c>
    </row>
    <row r="36" spans="1:21" ht="18" customHeight="1" x14ac:dyDescent="0.3">
      <c r="K36" s="8" t="s">
        <v>108</v>
      </c>
      <c r="L36" s="13">
        <f>L9</f>
        <v>0</v>
      </c>
      <c r="M36" s="7" t="s">
        <v>107</v>
      </c>
      <c r="O36" s="8" t="s">
        <v>108</v>
      </c>
      <c r="P36" s="13">
        <f>P9</f>
        <v>0</v>
      </c>
      <c r="Q36" s="7" t="s">
        <v>107</v>
      </c>
    </row>
    <row r="37" spans="1:21" ht="18" customHeight="1" x14ac:dyDescent="0.3">
      <c r="K37" s="8" t="s">
        <v>111</v>
      </c>
      <c r="L37" s="13">
        <f>L8</f>
        <v>85</v>
      </c>
      <c r="M37" s="7" t="s">
        <v>107</v>
      </c>
      <c r="O37" s="8" t="s">
        <v>111</v>
      </c>
      <c r="P37" s="13">
        <f>P8</f>
        <v>0</v>
      </c>
      <c r="Q37" s="7" t="s">
        <v>107</v>
      </c>
    </row>
    <row r="38" spans="1:21" ht="18" customHeight="1" x14ac:dyDescent="0.3">
      <c r="K38" s="2" t="s">
        <v>133</v>
      </c>
      <c r="L38" s="20">
        <f>IF(L14=0,0,(10^(-L14)))</f>
        <v>9.9999999999999995E-8</v>
      </c>
      <c r="M38" s="1" t="s">
        <v>51</v>
      </c>
      <c r="O38" s="2" t="s">
        <v>133</v>
      </c>
      <c r="P38" s="20">
        <f>IF(P14=0,0,(10^(-P14)))</f>
        <v>2.5118864315095751E-8</v>
      </c>
      <c r="Q38" s="1" t="s">
        <v>51</v>
      </c>
    </row>
    <row r="39" spans="1:21" ht="18" customHeight="1" x14ac:dyDescent="0.3">
      <c r="K39" s="2" t="s">
        <v>134</v>
      </c>
      <c r="L39" s="20">
        <f>IF(L14=0,0,$H$18/L38)</f>
        <v>1.0000000000000001E-7</v>
      </c>
      <c r="M39" s="1" t="s">
        <v>51</v>
      </c>
      <c r="O39" s="2" t="s">
        <v>134</v>
      </c>
      <c r="P39" s="20">
        <f>IF(P14=0,0,$H$18/P38)</f>
        <v>3.9810717055349803E-7</v>
      </c>
      <c r="Q39" s="1" t="s">
        <v>51</v>
      </c>
    </row>
    <row r="40" spans="1:21" ht="18" customHeight="1" x14ac:dyDescent="0.3">
      <c r="A40" s="8"/>
      <c r="K40" s="2" t="s">
        <v>135</v>
      </c>
      <c r="L40" s="20">
        <f>L8/$B$27*$H$9/(L38+$H$9)</f>
        <v>1.3205261650632394</v>
      </c>
      <c r="M40" s="1" t="s">
        <v>51</v>
      </c>
      <c r="O40" s="2" t="s">
        <v>135</v>
      </c>
      <c r="P40" s="20">
        <f>P8/$B$27*$H$9/(P38+$H$9)</f>
        <v>0</v>
      </c>
      <c r="Q40" s="1" t="s">
        <v>51</v>
      </c>
    </row>
    <row r="41" spans="1:21" ht="18" customHeight="1" x14ac:dyDescent="0.3">
      <c r="K41" s="2" t="s">
        <v>136</v>
      </c>
      <c r="L41" s="20">
        <f>L9/$B$28*$H$10/(L38+$H$10)</f>
        <v>0</v>
      </c>
      <c r="M41" s="1" t="s">
        <v>51</v>
      </c>
      <c r="O41" s="2" t="s">
        <v>136</v>
      </c>
      <c r="P41" s="20">
        <f>P9/$B$28*$H$10/(P38+$H$10)</f>
        <v>0</v>
      </c>
      <c r="Q41" s="1" t="s">
        <v>51</v>
      </c>
    </row>
    <row r="42" spans="1:21" ht="18" customHeight="1" x14ac:dyDescent="0.3">
      <c r="K42" s="2" t="s">
        <v>137</v>
      </c>
      <c r="L42" s="20">
        <f>L10/$B$29*$H$11/(L38+$H$11)</f>
        <v>0</v>
      </c>
      <c r="M42" s="1" t="s">
        <v>51</v>
      </c>
      <c r="O42" s="2" t="s">
        <v>137</v>
      </c>
      <c r="P42" s="20">
        <f>P10/$B$29*$H$11/(P38+$H$11)</f>
        <v>0</v>
      </c>
      <c r="Q42" s="1" t="s">
        <v>51</v>
      </c>
    </row>
    <row r="43" spans="1:21" ht="18" customHeight="1" x14ac:dyDescent="0.3">
      <c r="K43" s="2" t="s">
        <v>138</v>
      </c>
      <c r="L43" s="20">
        <f>L11/$B$30*$H$12/(L38+$H$12)</f>
        <v>0</v>
      </c>
      <c r="M43" s="1" t="s">
        <v>51</v>
      </c>
      <c r="O43" s="2" t="s">
        <v>138</v>
      </c>
      <c r="P43" s="20">
        <f>P11/$B$30*$H$12/(P38+$H$12)</f>
        <v>0</v>
      </c>
      <c r="Q43" s="1" t="s">
        <v>51</v>
      </c>
    </row>
    <row r="44" spans="1:21" ht="18" customHeight="1" x14ac:dyDescent="0.3">
      <c r="K44" s="2" t="s">
        <v>123</v>
      </c>
      <c r="L44" s="20">
        <f>L12/$B$15/1000</f>
        <v>0</v>
      </c>
      <c r="M44" s="1" t="s">
        <v>51</v>
      </c>
      <c r="O44" s="2" t="s">
        <v>123</v>
      </c>
      <c r="P44" s="20">
        <f>P12/$B$15/1000</f>
        <v>0</v>
      </c>
      <c r="Q44" s="1" t="s">
        <v>51</v>
      </c>
    </row>
    <row r="45" spans="1:21" ht="18" customHeight="1" x14ac:dyDescent="0.3">
      <c r="K45" s="2" t="s">
        <v>139</v>
      </c>
      <c r="L45" s="20">
        <f>L44*L38/($H$14+L38)</f>
        <v>0</v>
      </c>
      <c r="M45" s="1" t="s">
        <v>51</v>
      </c>
      <c r="O45" s="2" t="s">
        <v>139</v>
      </c>
      <c r="P45" s="20">
        <f>P44*P38/($H$14+P38)</f>
        <v>0</v>
      </c>
      <c r="Q45" s="1" t="s">
        <v>51</v>
      </c>
    </row>
    <row r="46" spans="1:21" ht="18" customHeight="1" x14ac:dyDescent="0.3">
      <c r="K46" s="2" t="s">
        <v>140</v>
      </c>
      <c r="L46" s="20">
        <f>L44-L45</f>
        <v>0</v>
      </c>
      <c r="M46" s="1" t="s">
        <v>51</v>
      </c>
      <c r="O46" s="2" t="s">
        <v>140</v>
      </c>
      <c r="P46" s="20">
        <f>P44-P45</f>
        <v>0</v>
      </c>
      <c r="Q46" s="1" t="s">
        <v>51</v>
      </c>
    </row>
    <row r="47" spans="1:21" ht="18" customHeight="1" x14ac:dyDescent="0.3">
      <c r="K47" s="2" t="s">
        <v>125</v>
      </c>
      <c r="L47" s="20">
        <f>L13/$B$16/1000</f>
        <v>0</v>
      </c>
      <c r="M47" s="6" t="s">
        <v>51</v>
      </c>
      <c r="O47" s="2" t="s">
        <v>125</v>
      </c>
      <c r="P47" s="20">
        <f>P13/$B$16/1000</f>
        <v>0</v>
      </c>
      <c r="Q47" s="6" t="s">
        <v>51</v>
      </c>
    </row>
    <row r="48" spans="1:21" ht="18" customHeight="1" x14ac:dyDescent="0.3">
      <c r="K48" s="2" t="s">
        <v>141</v>
      </c>
      <c r="L48" s="20">
        <f>$H$15*L47/($H$15+L38+L38^2/$H$16+L38^3/($H$16*$H$17))</f>
        <v>0</v>
      </c>
      <c r="M48" s="6" t="s">
        <v>51</v>
      </c>
      <c r="O48" s="2" t="s">
        <v>141</v>
      </c>
      <c r="P48" s="20">
        <f>$H$15*P47/($H$15+P38+P38^2/$H$16+P38^3/($H$16*$H$17))</f>
        <v>0</v>
      </c>
      <c r="Q48" s="6" t="s">
        <v>51</v>
      </c>
    </row>
    <row r="49" spans="11:17" ht="18" customHeight="1" x14ac:dyDescent="0.3">
      <c r="K49" s="2" t="s">
        <v>142</v>
      </c>
      <c r="L49" s="27">
        <f>$H$16*L47/($H$15*$H$16/L38+$H$16+L38+(L38^2)/$H$17)</f>
        <v>0</v>
      </c>
      <c r="M49" s="6" t="s">
        <v>51</v>
      </c>
      <c r="O49" s="2" t="s">
        <v>142</v>
      </c>
      <c r="P49" s="20">
        <f>$H$16*P47/($H$15*$H$16/P38+$H$16+P38+(P38^2)/$H$17)</f>
        <v>0</v>
      </c>
      <c r="Q49" s="6" t="s">
        <v>51</v>
      </c>
    </row>
    <row r="50" spans="11:17" ht="18" customHeight="1" x14ac:dyDescent="0.3">
      <c r="K50" s="2" t="s">
        <v>143</v>
      </c>
      <c r="L50" s="27">
        <f>L47*$H$17/(L38+$H$17+$H$17*$H$16/L38+$H$17*$H$16*$H$15/(L38^2))</f>
        <v>0</v>
      </c>
      <c r="M50" s="6" t="s">
        <v>51</v>
      </c>
      <c r="O50" s="2" t="s">
        <v>143</v>
      </c>
      <c r="P50" s="20">
        <f>P47*$H$17/(P38+$H$17+$H$17*$H$16/P38+$H$17*$H$16*$H$15/(P38^2))</f>
        <v>0</v>
      </c>
      <c r="Q50" s="6" t="s">
        <v>51</v>
      </c>
    </row>
    <row r="51" spans="11:17" ht="18" customHeight="1" x14ac:dyDescent="0.3">
      <c r="K51" s="2" t="s">
        <v>144</v>
      </c>
      <c r="L51" s="20">
        <f>L47-L48-L49-L50</f>
        <v>0</v>
      </c>
      <c r="M51" s="6" t="s">
        <v>51</v>
      </c>
      <c r="O51" s="2" t="s">
        <v>144</v>
      </c>
      <c r="P51" s="20">
        <f>P47-P48-P49-P50</f>
        <v>0</v>
      </c>
      <c r="Q51" s="6" t="s">
        <v>51</v>
      </c>
    </row>
    <row r="52" spans="11:17" ht="18" customHeight="1" x14ac:dyDescent="0.3">
      <c r="K52" s="2" t="s">
        <v>145</v>
      </c>
      <c r="L52" s="24">
        <f>L15/$B$13*2/1000</f>
        <v>0</v>
      </c>
      <c r="M52" s="1" t="s">
        <v>51</v>
      </c>
      <c r="O52" s="2" t="s">
        <v>145</v>
      </c>
      <c r="P52" s="24">
        <f>P15/$B$13*2/1000</f>
        <v>8.0879999999999997E-3</v>
      </c>
      <c r="Q52" s="1" t="s">
        <v>51</v>
      </c>
    </row>
    <row r="53" spans="11:17" ht="18" customHeight="1" x14ac:dyDescent="0.3">
      <c r="K53" s="2" t="s">
        <v>146</v>
      </c>
      <c r="L53" s="24">
        <f>L52-SUM(L40:L43)-L39+L38-L46-L49-2*L48+L51</f>
        <v>-1.3205261650632394</v>
      </c>
      <c r="M53" s="1" t="s">
        <v>51</v>
      </c>
      <c r="O53" s="2" t="s">
        <v>146</v>
      </c>
      <c r="P53" s="24">
        <f>P52-SUM(P40:P43)-P39+P38-P46-P49-2*P48+P51</f>
        <v>8.0876270116937606E-3</v>
      </c>
      <c r="Q53" s="1" t="s">
        <v>51</v>
      </c>
    </row>
    <row r="54" spans="11:17" ht="18" customHeight="1" x14ac:dyDescent="0.3">
      <c r="K54" s="2" t="s">
        <v>121</v>
      </c>
      <c r="L54" s="24">
        <f>L53*(L38+$H$13)/$H$13</f>
        <v>-1.616155149039205</v>
      </c>
      <c r="M54" s="1" t="s">
        <v>51</v>
      </c>
      <c r="O54" s="2" t="s">
        <v>121</v>
      </c>
      <c r="P54" s="24">
        <f>P53*(P38+$H$13)/$H$13</f>
        <v>8.5424277008338718E-3</v>
      </c>
      <c r="Q54" s="1" t="s">
        <v>51</v>
      </c>
    </row>
    <row r="55" spans="11:17" ht="18" customHeight="1" x14ac:dyDescent="0.3">
      <c r="K55" s="2" t="s">
        <v>147</v>
      </c>
      <c r="L55" s="24">
        <f>L54-L53</f>
        <v>-0.2956289839759656</v>
      </c>
      <c r="M55" s="1" t="s">
        <v>51</v>
      </c>
      <c r="O55" s="2" t="s">
        <v>147</v>
      </c>
      <c r="P55" s="24">
        <f>P54-P53</f>
        <v>4.5480068914011129E-4</v>
      </c>
      <c r="Q55" s="1" t="s">
        <v>51</v>
      </c>
    </row>
    <row r="56" spans="11:17" ht="18" customHeight="1" x14ac:dyDescent="0.3">
      <c r="K56" s="2" t="s">
        <v>148</v>
      </c>
      <c r="L56" s="23">
        <f>L38-L39-L40-L41-L42-L43+L45-3*L48-2*L49-L50+L57</f>
        <v>-1.2805261650632394</v>
      </c>
      <c r="M56" s="1" t="s">
        <v>149</v>
      </c>
      <c r="O56" s="2" t="s">
        <v>148</v>
      </c>
      <c r="P56" s="23">
        <f>P38-P39-P40-P41-P42-P43+P45-3*P48-2*P49-P50+P57</f>
        <v>2.4212010631378766E-7</v>
      </c>
      <c r="Q56" s="1" t="s">
        <v>149</v>
      </c>
    </row>
    <row r="57" spans="11:17" ht="18" customHeight="1" x14ac:dyDescent="0.3">
      <c r="K57" s="2" t="s">
        <v>150</v>
      </c>
      <c r="L57" s="4">
        <v>0.04</v>
      </c>
      <c r="M57" s="1" t="s">
        <v>51</v>
      </c>
      <c r="O57" s="2" t="s">
        <v>150</v>
      </c>
      <c r="P57" s="4">
        <v>6.1510841255218995E-7</v>
      </c>
      <c r="Q57" s="1" t="s">
        <v>51</v>
      </c>
    </row>
    <row r="58" spans="11:17" ht="18" customHeight="1" x14ac:dyDescent="0.3">
      <c r="K58" s="2" t="s">
        <v>130</v>
      </c>
      <c r="L58" s="28">
        <v>0.02</v>
      </c>
      <c r="M58" s="1" t="s">
        <v>51</v>
      </c>
      <c r="O58" s="2" t="s">
        <v>130</v>
      </c>
      <c r="P58" s="28">
        <v>0.02</v>
      </c>
      <c r="Q58" s="1" t="s">
        <v>51</v>
      </c>
    </row>
    <row r="59" spans="11:17" ht="18" customHeight="1" x14ac:dyDescent="0.3">
      <c r="K59" s="2" t="s">
        <v>127</v>
      </c>
      <c r="L59" s="29">
        <f>L57+L58</f>
        <v>0.06</v>
      </c>
      <c r="M59" s="1" t="s">
        <v>51</v>
      </c>
      <c r="O59" s="2" t="s">
        <v>127</v>
      </c>
      <c r="P59" s="29">
        <f>P57+P58</f>
        <v>2.0000615108412553E-2</v>
      </c>
      <c r="Q59" s="1" t="s">
        <v>51</v>
      </c>
    </row>
    <row r="62" spans="11:17" ht="18" customHeight="1" x14ac:dyDescent="0.3">
      <c r="M62" s="36" t="s">
        <v>151</v>
      </c>
      <c r="N62" s="36"/>
      <c r="O62" s="36"/>
    </row>
    <row r="63" spans="11:17" ht="18" customHeight="1" x14ac:dyDescent="0.3">
      <c r="M63" s="2" t="s">
        <v>133</v>
      </c>
      <c r="N63" s="20">
        <f>(L38*$H$4/1000+P38*($H$2+$H$3)/1000)/($H$2+$H$3+$H$4)*1000</f>
        <v>2.5768592173533099E-8</v>
      </c>
      <c r="O63" s="1" t="s">
        <v>51</v>
      </c>
      <c r="P63" s="34">
        <f>-LOG(N63)</f>
        <v>7.5889093077963015</v>
      </c>
    </row>
    <row r="64" spans="11:17" ht="18" customHeight="1" x14ac:dyDescent="0.3">
      <c r="M64" s="2" t="s">
        <v>134</v>
      </c>
      <c r="N64" s="20">
        <f>$H$18/N63</f>
        <v>3.880693183646638E-7</v>
      </c>
      <c r="O64" s="1" t="s">
        <v>51</v>
      </c>
    </row>
    <row r="65" spans="13:15" ht="18" customHeight="1" x14ac:dyDescent="0.3">
      <c r="M65" s="2" t="s">
        <v>135</v>
      </c>
      <c r="N65" s="20">
        <f>(L40*$H$4/1000+P40*($H$2+$H$3)/1000)/($H$2+$H$3+$H$4)*1000</f>
        <v>1.14579276795075E-2</v>
      </c>
      <c r="O65" s="1" t="s">
        <v>51</v>
      </c>
    </row>
    <row r="66" spans="13:15" ht="18" customHeight="1" x14ac:dyDescent="0.3">
      <c r="M66" s="2" t="s">
        <v>136</v>
      </c>
      <c r="N66" s="20">
        <f>(L41*$H$4/1000+P41*($H$2+$H$3)/1000)/($H$2+$H$3+$H$4)*1000</f>
        <v>0</v>
      </c>
      <c r="O66" s="1" t="s">
        <v>51</v>
      </c>
    </row>
    <row r="67" spans="13:15" ht="18" customHeight="1" x14ac:dyDescent="0.3">
      <c r="M67" s="2" t="s">
        <v>137</v>
      </c>
      <c r="N67" s="20">
        <f>(L42*$H$4/1000+P42*($H$2+$H$3)/1000)/($H$2+$H$3+$H$4)*1000</f>
        <v>0</v>
      </c>
      <c r="O67" s="1" t="s">
        <v>51</v>
      </c>
    </row>
    <row r="68" spans="13:15" ht="18" customHeight="1" x14ac:dyDescent="0.3">
      <c r="M68" s="2" t="s">
        <v>138</v>
      </c>
      <c r="N68" s="20">
        <f>(L43*$H$4/1000+P43*($H$2+$H$3)/1000)/($H$2+$H$3+$H$4)*1000</f>
        <v>0</v>
      </c>
      <c r="O68" s="1" t="s">
        <v>51</v>
      </c>
    </row>
    <row r="69" spans="13:15" ht="18" customHeight="1" x14ac:dyDescent="0.3">
      <c r="M69" s="2" t="s">
        <v>139</v>
      </c>
      <c r="N69" s="20">
        <f>T28*N63/($H$14+N63)</f>
        <v>0</v>
      </c>
      <c r="O69" s="1" t="s">
        <v>51</v>
      </c>
    </row>
    <row r="70" spans="13:15" ht="18" customHeight="1" x14ac:dyDescent="0.3">
      <c r="M70" s="2" t="s">
        <v>140</v>
      </c>
      <c r="N70" s="20">
        <f>T28-N69</f>
        <v>0</v>
      </c>
      <c r="O70" s="1" t="s">
        <v>51</v>
      </c>
    </row>
    <row r="71" spans="13:15" ht="18" customHeight="1" x14ac:dyDescent="0.3">
      <c r="M71" s="2" t="s">
        <v>141</v>
      </c>
      <c r="N71" s="20">
        <f>$H$15*T29/($H$15+N63+N63^2/$H$16+N63^3/($H$16*$H$17))</f>
        <v>0</v>
      </c>
      <c r="O71" s="6" t="s">
        <v>51</v>
      </c>
    </row>
    <row r="72" spans="13:15" ht="18" customHeight="1" x14ac:dyDescent="0.3">
      <c r="M72" s="2" t="s">
        <v>142</v>
      </c>
      <c r="N72" s="20">
        <f>$H$16*T29/($H$15*$H$16/N63+$H$16+N63+(N63^2)/$H$17)</f>
        <v>0</v>
      </c>
      <c r="O72" s="6" t="s">
        <v>51</v>
      </c>
    </row>
    <row r="73" spans="13:15" ht="18" customHeight="1" x14ac:dyDescent="0.3">
      <c r="M73" s="2" t="s">
        <v>143</v>
      </c>
      <c r="N73" s="20">
        <f>T29*$H$17/(N63+$H$17+$H$17*$H$16/N63+$H$17*$H$16*$H$15/(N63^2))</f>
        <v>0</v>
      </c>
      <c r="O73" s="6" t="s">
        <v>51</v>
      </c>
    </row>
    <row r="74" spans="13:15" ht="18" customHeight="1" x14ac:dyDescent="0.3">
      <c r="M74" s="2" t="s">
        <v>144</v>
      </c>
      <c r="N74" s="20">
        <f>T29-N71-N72-N73</f>
        <v>0</v>
      </c>
      <c r="O74" s="6" t="s">
        <v>51</v>
      </c>
    </row>
    <row r="75" spans="13:15" ht="18" customHeight="1" x14ac:dyDescent="0.3">
      <c r="M75" s="2" t="s">
        <v>146</v>
      </c>
      <c r="N75" s="24">
        <f>T27*$H$13/($H$13+N63)</f>
        <v>8.006426576246263E-3</v>
      </c>
      <c r="O75" s="1" t="s">
        <v>51</v>
      </c>
    </row>
    <row r="76" spans="13:15" ht="18" customHeight="1" x14ac:dyDescent="0.3">
      <c r="M76" s="2" t="s">
        <v>147</v>
      </c>
      <c r="N76" s="24">
        <f>T27-N75</f>
        <v>4.6188027685803087E-4</v>
      </c>
      <c r="O76" s="1" t="s">
        <v>51</v>
      </c>
    </row>
    <row r="77" spans="13:15" ht="18" customHeight="1" x14ac:dyDescent="0.3">
      <c r="M77" s="2" t="s">
        <v>148</v>
      </c>
      <c r="N77" s="23">
        <f>N63-N64-N65-N66-N67-N68+N69-3*N71-2*N72-N73+N78-N75</f>
        <v>0</v>
      </c>
      <c r="O77" s="1" t="s">
        <v>149</v>
      </c>
    </row>
    <row r="78" spans="13:15" ht="18" customHeight="1" x14ac:dyDescent="0.3">
      <c r="M78" s="2" t="s">
        <v>150</v>
      </c>
      <c r="N78" s="4">
        <v>1.9464716556479952E-2</v>
      </c>
      <c r="O78" s="1" t="s">
        <v>51</v>
      </c>
    </row>
    <row r="79" spans="13:15" ht="18" customHeight="1" x14ac:dyDescent="0.3">
      <c r="M79" s="2" t="s">
        <v>130</v>
      </c>
      <c r="N79" s="28">
        <v>0.04</v>
      </c>
      <c r="O79" s="1" t="s">
        <v>51</v>
      </c>
    </row>
    <row r="80" spans="13:15" ht="18" customHeight="1" x14ac:dyDescent="0.3">
      <c r="M80" s="2" t="s">
        <v>127</v>
      </c>
      <c r="N80" s="29">
        <f>N78+N79</f>
        <v>5.9464716556479953E-2</v>
      </c>
      <c r="O80" s="1" t="s">
        <v>51</v>
      </c>
    </row>
  </sheetData>
  <mergeCells count="9">
    <mergeCell ref="S1:U1"/>
    <mergeCell ref="G8:I8"/>
    <mergeCell ref="K22:M22"/>
    <mergeCell ref="O22:Q22"/>
    <mergeCell ref="M62:O62"/>
    <mergeCell ref="A1:C1"/>
    <mergeCell ref="G1:I1"/>
    <mergeCell ref="K1:M1"/>
    <mergeCell ref="O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5F2F-08E1-4D2F-A0A0-203DD3B055D7}">
  <dimension ref="A1:U80"/>
  <sheetViews>
    <sheetView tabSelected="1" topLeftCell="A62" zoomScale="85" zoomScaleNormal="85" workbookViewId="0">
      <selection activeCell="Q80" sqref="Q80"/>
    </sheetView>
  </sheetViews>
  <sheetFormatPr defaultColWidth="8.88671875" defaultRowHeight="18" customHeight="1" x14ac:dyDescent="0.3"/>
  <cols>
    <col min="1" max="21" width="10.6640625" style="6" customWidth="1"/>
    <col min="22" max="16384" width="8.88671875" style="6"/>
  </cols>
  <sheetData>
    <row r="1" spans="1:21" ht="18" customHeight="1" x14ac:dyDescent="0.3">
      <c r="A1" s="37" t="s">
        <v>0</v>
      </c>
      <c r="B1" s="37"/>
      <c r="C1" s="37"/>
      <c r="G1" s="38" t="s">
        <v>1</v>
      </c>
      <c r="H1" s="38"/>
      <c r="I1" s="38"/>
      <c r="K1" s="38" t="s">
        <v>2</v>
      </c>
      <c r="L1" s="38"/>
      <c r="M1" s="38"/>
      <c r="N1" s="7"/>
      <c r="O1" s="38" t="s">
        <v>3</v>
      </c>
      <c r="P1" s="38"/>
      <c r="Q1" s="38"/>
      <c r="S1" s="35" t="s">
        <v>4</v>
      </c>
      <c r="T1" s="35"/>
      <c r="U1" s="35"/>
    </row>
    <row r="2" spans="1:21" ht="18" customHeight="1" x14ac:dyDescent="0.3">
      <c r="A2" s="2" t="s">
        <v>5</v>
      </c>
      <c r="B2" s="9">
        <f>32*6/180</f>
        <v>1.0666666666666667</v>
      </c>
      <c r="C2" s="3" t="s">
        <v>6</v>
      </c>
      <c r="D2" s="7" t="s">
        <v>7</v>
      </c>
      <c r="G2" s="2" t="s">
        <v>8</v>
      </c>
      <c r="H2" s="11">
        <v>445</v>
      </c>
      <c r="I2" s="7" t="s">
        <v>9</v>
      </c>
      <c r="K2" s="2" t="s">
        <v>10</v>
      </c>
      <c r="L2" s="11">
        <v>100</v>
      </c>
      <c r="M2" s="7" t="s">
        <v>11</v>
      </c>
      <c r="N2" s="7"/>
      <c r="O2" s="2" t="s">
        <v>10</v>
      </c>
      <c r="P2" s="11">
        <v>0</v>
      </c>
      <c r="Q2" s="7" t="s">
        <v>11</v>
      </c>
      <c r="S2" s="8" t="s">
        <v>12</v>
      </c>
      <c r="T2" s="7">
        <v>0</v>
      </c>
      <c r="U2" s="18" t="str">
        <f>CONCATENATE("batch_ac_g.Xsu_restart = (open.X_su*batch_ac_g.V_inoculum+",T2,"*batch_ac_g.V_add)/batch_ac_g.V_liq;")</f>
        <v>batch_ac_g.Xsu_restart = (open.X_su*batch_ac_g.V_inoculum+0*batch_ac_g.V_add)/batch_ac_g.V_liq;</v>
      </c>
    </row>
    <row r="3" spans="1:21" ht="18" customHeight="1" x14ac:dyDescent="0.3">
      <c r="A3" s="2" t="s">
        <v>13</v>
      </c>
      <c r="B3" s="9">
        <v>1.58</v>
      </c>
      <c r="C3" s="3" t="s">
        <v>14</v>
      </c>
      <c r="D3" s="7" t="s">
        <v>7</v>
      </c>
      <c r="G3" s="2" t="s">
        <v>15</v>
      </c>
      <c r="H3" s="10">
        <v>0</v>
      </c>
      <c r="I3" s="7" t="s">
        <v>9</v>
      </c>
      <c r="K3" s="2" t="s">
        <v>16</v>
      </c>
      <c r="L3" s="11">
        <v>0</v>
      </c>
      <c r="M3" s="7" t="s">
        <v>17</v>
      </c>
      <c r="N3" s="7"/>
      <c r="O3" s="2" t="s">
        <v>16</v>
      </c>
      <c r="P3" s="11">
        <v>0</v>
      </c>
      <c r="Q3" s="7" t="s">
        <v>17</v>
      </c>
      <c r="S3" s="8" t="s">
        <v>18</v>
      </c>
      <c r="T3" s="7">
        <v>0</v>
      </c>
      <c r="U3" s="18" t="str">
        <f>CONCATENATE("batch_ac_g.Xaa_restart = (open.X_aa*batch_ac_g.V_inoculum+",T3,"*batch_ac_g.V_add)/batch_ac_g.V_liq;")</f>
        <v>batch_ac_g.Xaa_restart = (open.X_aa*batch_ac_g.V_inoculum+0*batch_ac_g.V_add)/batch_ac_g.V_liq;</v>
      </c>
    </row>
    <row r="4" spans="1:21" ht="18" customHeight="1" x14ac:dyDescent="0.3">
      <c r="A4" s="2" t="s">
        <v>19</v>
      </c>
      <c r="B4" s="9">
        <v>1.53</v>
      </c>
      <c r="C4" s="3" t="s">
        <v>20</v>
      </c>
      <c r="D4" s="7" t="s">
        <v>7</v>
      </c>
      <c r="G4" s="5" t="s">
        <v>21</v>
      </c>
      <c r="H4" s="12">
        <v>16</v>
      </c>
      <c r="I4" s="7" t="s">
        <v>9</v>
      </c>
      <c r="K4" s="8" t="s">
        <v>22</v>
      </c>
      <c r="L4" s="14">
        <v>0</v>
      </c>
      <c r="M4" s="7" t="s">
        <v>23</v>
      </c>
      <c r="N4" s="7"/>
      <c r="O4" s="8" t="s">
        <v>22</v>
      </c>
      <c r="P4" s="14">
        <v>0</v>
      </c>
      <c r="Q4" s="7" t="s">
        <v>23</v>
      </c>
      <c r="S4" s="8" t="s">
        <v>24</v>
      </c>
      <c r="T4" s="7">
        <v>0</v>
      </c>
      <c r="U4" s="18" t="str">
        <f>CONCATENATE("batch_ac_g.Xfa_restart = (open.X_fa*batch_ac_g.V_inoculum+",T4,"*batch_ac_g.V_add)/batch_ac_g.V_liq;")</f>
        <v>batch_ac_g.Xfa_restart = (open.X_fa*batch_ac_g.V_inoculum+0*batch_ac_g.V_add)/batch_ac_g.V_liq;</v>
      </c>
    </row>
    <row r="5" spans="1:21" ht="18" customHeight="1" x14ac:dyDescent="0.3">
      <c r="A5" s="5" t="s">
        <v>25</v>
      </c>
      <c r="B5" s="9">
        <f>1/0.16</f>
        <v>6.25</v>
      </c>
      <c r="C5" s="3" t="s">
        <v>26</v>
      </c>
      <c r="D5" s="7" t="s">
        <v>7</v>
      </c>
      <c r="G5" s="5" t="s">
        <v>27</v>
      </c>
      <c r="H5" s="12">
        <f>SUM(H2:H4)</f>
        <v>461</v>
      </c>
      <c r="I5" s="7" t="s">
        <v>9</v>
      </c>
      <c r="K5" s="8" t="s">
        <v>28</v>
      </c>
      <c r="L5" s="15">
        <v>0</v>
      </c>
      <c r="M5" s="7" t="s">
        <v>29</v>
      </c>
      <c r="N5" s="7"/>
      <c r="O5" s="8" t="s">
        <v>28</v>
      </c>
      <c r="P5" s="15">
        <v>1</v>
      </c>
      <c r="Q5" s="7" t="s">
        <v>29</v>
      </c>
      <c r="S5" s="8" t="s">
        <v>30</v>
      </c>
      <c r="T5" s="7">
        <v>0</v>
      </c>
      <c r="U5" s="18" t="str">
        <f>CONCATENATE("batch_ac_g.Xc4_restart = (open.X_c4*batch_ac_g.V_inoculum+",T5,"*batch_ac_g.V_add)/batch_ac_g.V_liq;")</f>
        <v>batch_ac_g.Xc4_restart = (open.X_c4*batch_ac_g.V_inoculum+0*batch_ac_g.V_add)/batch_ac_g.V_liq;</v>
      </c>
    </row>
    <row r="6" spans="1:21" ht="18" customHeight="1" x14ac:dyDescent="0.3">
      <c r="A6" s="2" t="s">
        <v>31</v>
      </c>
      <c r="B6" s="9">
        <v>2.83</v>
      </c>
      <c r="C6" s="3" t="s">
        <v>32</v>
      </c>
      <c r="D6" s="7" t="s">
        <v>7</v>
      </c>
      <c r="K6" s="8" t="s">
        <v>33</v>
      </c>
      <c r="L6" s="16">
        <v>0</v>
      </c>
      <c r="M6" s="7" t="s">
        <v>34</v>
      </c>
      <c r="N6" s="7"/>
      <c r="O6" s="8" t="s">
        <v>33</v>
      </c>
      <c r="P6" s="16">
        <v>0</v>
      </c>
      <c r="Q6" s="7" t="s">
        <v>34</v>
      </c>
      <c r="S6" s="8" t="s">
        <v>35</v>
      </c>
      <c r="T6" s="7">
        <v>0</v>
      </c>
      <c r="U6" s="18" t="str">
        <f>CONCATENATE("batch_ac_g.Xpro_restart = (open.X_pro*batch_ac_g.V_inoculum+",T6,"*batch_ac_g.V_add)/batch_ac_g.V_liq;")</f>
        <v>batch_ac_g.Xpro_restart = (open.X_pro*batch_ac_g.V_inoculum+0*batch_ac_g.V_add)/batch_ac_g.V_liq;</v>
      </c>
    </row>
    <row r="7" spans="1:21" ht="18" customHeight="1" x14ac:dyDescent="0.3">
      <c r="A7" s="8" t="s">
        <v>36</v>
      </c>
      <c r="B7" s="9">
        <f>273.15+25</f>
        <v>298.14999999999998</v>
      </c>
      <c r="C7" s="7" t="s">
        <v>37</v>
      </c>
      <c r="D7" s="7" t="s">
        <v>38</v>
      </c>
      <c r="K7" s="8" t="s">
        <v>39</v>
      </c>
      <c r="L7" s="15">
        <v>0</v>
      </c>
      <c r="M7" s="7" t="s">
        <v>40</v>
      </c>
      <c r="N7" s="7"/>
      <c r="O7" s="8" t="s">
        <v>39</v>
      </c>
      <c r="P7" s="15">
        <v>0</v>
      </c>
      <c r="Q7" s="7" t="s">
        <v>40</v>
      </c>
      <c r="S7" s="8" t="s">
        <v>41</v>
      </c>
      <c r="T7" s="7">
        <v>0</v>
      </c>
      <c r="U7" s="18" t="str">
        <f>CONCATENATE("batch_ac_g.Xac_restart = (open.X_ac*batch_ac_g.V_inoculum+",T7,"*batch_ac_g.V_add)/batch_ac_g.V_liq;")</f>
        <v>batch_ac_g.Xac_restart = (open.X_ac*batch_ac_g.V_inoculum+0*batch_ac_g.V_add)/batch_ac_g.V_liq;</v>
      </c>
    </row>
    <row r="8" spans="1:21" ht="18" customHeight="1" x14ac:dyDescent="0.3">
      <c r="A8" s="8" t="s">
        <v>42</v>
      </c>
      <c r="B8" s="9">
        <v>0.08</v>
      </c>
      <c r="C8" s="7" t="s">
        <v>43</v>
      </c>
      <c r="D8" s="7"/>
      <c r="G8" s="36" t="s">
        <v>44</v>
      </c>
      <c r="H8" s="36"/>
      <c r="I8" s="36"/>
      <c r="J8" s="6">
        <f>L8*H4/1000/SUM(H2+H4+H5)*1000</f>
        <v>1.4750542299349241</v>
      </c>
      <c r="K8" s="8" t="s">
        <v>45</v>
      </c>
      <c r="L8" s="16">
        <v>85</v>
      </c>
      <c r="M8" s="7" t="s">
        <v>46</v>
      </c>
      <c r="N8" s="7"/>
      <c r="O8" s="8" t="s">
        <v>45</v>
      </c>
      <c r="P8" s="16">
        <v>0</v>
      </c>
      <c r="Q8" s="7" t="s">
        <v>46</v>
      </c>
      <c r="S8" s="8" t="s">
        <v>47</v>
      </c>
      <c r="T8" s="7">
        <v>0</v>
      </c>
      <c r="U8" s="18" t="str">
        <f>CONCATENATE("batch_ac_g.Xh2_restart = (open.X_h2*batch_ac_g.V_inoculum+",T8,"*batch_ac_g.V_add)/batch_ac_g.V_liq;")</f>
        <v>batch_ac_g.Xh2_restart = (open.X_h2*batch_ac_g.V_inoculum+0*batch_ac_g.V_add)/batch_ac_g.V_liq;</v>
      </c>
    </row>
    <row r="9" spans="1:21" ht="18" customHeight="1" x14ac:dyDescent="0.3">
      <c r="A9" s="8" t="s">
        <v>48</v>
      </c>
      <c r="B9" s="17">
        <v>60</v>
      </c>
      <c r="C9" s="7" t="s">
        <v>49</v>
      </c>
      <c r="G9" s="8" t="s">
        <v>50</v>
      </c>
      <c r="H9" s="19">
        <f t="shared" ref="H9:H18" si="0">10^-B17</f>
        <v>1.7378008287493744E-5</v>
      </c>
      <c r="I9" s="7" t="s">
        <v>51</v>
      </c>
      <c r="K9" s="8" t="s">
        <v>52</v>
      </c>
      <c r="L9" s="16">
        <v>0</v>
      </c>
      <c r="M9" s="7" t="s">
        <v>46</v>
      </c>
      <c r="N9" s="7"/>
      <c r="O9" s="8" t="s">
        <v>52</v>
      </c>
      <c r="P9" s="16">
        <v>0</v>
      </c>
      <c r="Q9" s="7" t="s">
        <v>46</v>
      </c>
      <c r="S9" s="8" t="s">
        <v>53</v>
      </c>
      <c r="T9" s="7">
        <v>0</v>
      </c>
      <c r="U9" s="18" t="str">
        <f>CONCATENATE("batch_ac_g.Xc_restart = (open.X_c*batch_ac_g.V_inoculum+",T9,"*batch_ac_g.V_add)/batch_ac_g.V_liq;")</f>
        <v>batch_ac_g.Xc_restart = (open.X_c*batch_ac_g.V_inoculum+0*batch_ac_g.V_add)/batch_ac_g.V_liq;</v>
      </c>
    </row>
    <row r="10" spans="1:21" ht="18" customHeight="1" x14ac:dyDescent="0.3">
      <c r="A10" s="8" t="s">
        <v>54</v>
      </c>
      <c r="B10" s="17">
        <v>74</v>
      </c>
      <c r="C10" s="7" t="s">
        <v>49</v>
      </c>
      <c r="G10" s="8" t="s">
        <v>55</v>
      </c>
      <c r="H10" s="19">
        <f t="shared" si="0"/>
        <v>1.3182567385564052E-5</v>
      </c>
      <c r="I10" s="7" t="s">
        <v>51</v>
      </c>
      <c r="K10" s="8" t="s">
        <v>56</v>
      </c>
      <c r="L10" s="16">
        <v>0</v>
      </c>
      <c r="M10" s="7" t="s">
        <v>46</v>
      </c>
      <c r="N10" s="7"/>
      <c r="O10" s="8" t="s">
        <v>56</v>
      </c>
      <c r="P10" s="16">
        <v>0</v>
      </c>
      <c r="Q10" s="7" t="s">
        <v>46</v>
      </c>
      <c r="S10" s="8" t="s">
        <v>57</v>
      </c>
      <c r="T10" s="25">
        <f>(L28*$H$4/1000+P28*($H$2+$H$3)/1000)/($H$2+$H$3+$H$4)*1000</f>
        <v>0</v>
      </c>
      <c r="U10" s="18" t="str">
        <f>CONCATENATE("batch_ac_g.Xi_restart = (open.X_i*batch_ac_g.V_inoculum+",L27,"*batch_ac_g.V_add)/batch_ac_g.V_liq;")</f>
        <v>batch_ac_g.Xi_restart = (open.X_i*batch_ac_g.V_inoculum+0*batch_ac_g.V_add)/batch_ac_g.V_liq;</v>
      </c>
    </row>
    <row r="11" spans="1:21" ht="18" customHeight="1" x14ac:dyDescent="0.3">
      <c r="A11" s="8" t="s">
        <v>58</v>
      </c>
      <c r="B11" s="17">
        <v>88</v>
      </c>
      <c r="C11" s="7" t="s">
        <v>49</v>
      </c>
      <c r="G11" s="8" t="s">
        <v>59</v>
      </c>
      <c r="H11" s="19">
        <f t="shared" si="0"/>
        <v>1.5135612484362051E-5</v>
      </c>
      <c r="I11" s="7" t="s">
        <v>51</v>
      </c>
      <c r="K11" s="8" t="s">
        <v>60</v>
      </c>
      <c r="L11" s="16">
        <v>0</v>
      </c>
      <c r="M11" s="7" t="s">
        <v>46</v>
      </c>
      <c r="N11" s="7"/>
      <c r="O11" s="8" t="s">
        <v>60</v>
      </c>
      <c r="P11" s="16">
        <v>0</v>
      </c>
      <c r="Q11" s="7" t="s">
        <v>46</v>
      </c>
      <c r="S11" s="8" t="s">
        <v>61</v>
      </c>
      <c r="T11" s="25">
        <f>(L29*$H$4/1000+P29*($H$2+$H$3)/1000)/($H$2+$H$3+$H$4)*1000</f>
        <v>0</v>
      </c>
      <c r="U11" s="18" t="str">
        <f>CONCATENATE("batch_ac_g.Xch1_restart = (open.X_ch[1]*batch_ac_g.V_inoculum+",T11,"*batch_ac_g.V_add)/batch_ac_g.V_liq;")</f>
        <v>batch_ac_g.Xch1_restart = (open.X_ch[1]*batch_ac_g.V_inoculum+0*batch_ac_g.V_add)/batch_ac_g.V_liq;</v>
      </c>
    </row>
    <row r="12" spans="1:21" ht="18" customHeight="1" x14ac:dyDescent="0.3">
      <c r="A12" s="8" t="s">
        <v>62</v>
      </c>
      <c r="B12" s="17">
        <v>102</v>
      </c>
      <c r="C12" s="7" t="s">
        <v>49</v>
      </c>
      <c r="G12" s="8" t="s">
        <v>63</v>
      </c>
      <c r="H12" s="19">
        <f t="shared" si="0"/>
        <v>1.3803842646028827E-5</v>
      </c>
      <c r="I12" s="7" t="s">
        <v>51</v>
      </c>
      <c r="K12" s="8" t="s">
        <v>64</v>
      </c>
      <c r="L12" s="15">
        <v>0</v>
      </c>
      <c r="M12" s="7" t="s">
        <v>65</v>
      </c>
      <c r="N12" s="7"/>
      <c r="O12" s="8" t="s">
        <v>64</v>
      </c>
      <c r="P12" s="15">
        <v>0</v>
      </c>
      <c r="Q12" s="7" t="s">
        <v>65</v>
      </c>
      <c r="S12" s="8" t="s">
        <v>66</v>
      </c>
      <c r="T12" s="25">
        <f t="shared" ref="T12:T15" si="1">(L30*$H$4/1000+P30*($H$2+$H$3)/1000)/($H$2+$H$3+$H$4)*1000</f>
        <v>0</v>
      </c>
      <c r="U12" s="18" t="str">
        <f>CONCATENATE("batch_ac_g.Xch2_restart = (open.X_ch[2]*batch_ac_g.V_inoculum+",T12,"*batch_ac_g.V_add)/batch_ac_g.V_liq;")</f>
        <v>batch_ac_g.Xch2_restart = (open.X_ch[2]*batch_ac_g.V_inoculum+0*batch_ac_g.V_add)/batch_ac_g.V_liq;</v>
      </c>
    </row>
    <row r="13" spans="1:21" ht="18" customHeight="1" x14ac:dyDescent="0.3">
      <c r="A13" s="8" t="s">
        <v>67</v>
      </c>
      <c r="B13" s="17">
        <v>100</v>
      </c>
      <c r="C13" s="7" t="s">
        <v>49</v>
      </c>
      <c r="G13" s="8" t="s">
        <v>68</v>
      </c>
      <c r="H13" s="19">
        <f t="shared" si="0"/>
        <v>4.4668359215096327E-7</v>
      </c>
      <c r="I13" s="7" t="s">
        <v>51</v>
      </c>
      <c r="K13" s="8" t="s">
        <v>69</v>
      </c>
      <c r="L13" s="15">
        <v>0</v>
      </c>
      <c r="M13" s="7" t="s">
        <v>70</v>
      </c>
      <c r="N13" s="7"/>
      <c r="O13" s="8" t="s">
        <v>69</v>
      </c>
      <c r="P13" s="15">
        <v>0</v>
      </c>
      <c r="Q13" s="7" t="s">
        <v>70</v>
      </c>
      <c r="S13" s="8" t="s">
        <v>71</v>
      </c>
      <c r="T13" s="25">
        <f t="shared" si="1"/>
        <v>0</v>
      </c>
      <c r="U13" s="18" t="str">
        <f>CONCATENATE("batch_ac_g.Xpr1_restart = (open.X_pr[1]*batch_ac_g.V_inoculum+",T13,"*batch_ac_g.V_add)/batch_ac_g.V_liq;")</f>
        <v>batch_ac_g.Xpr1_restart = (open.X_pr[1]*batch_ac_g.V_inoculum+0*batch_ac_g.V_add)/batch_ac_g.V_liq;</v>
      </c>
    </row>
    <row r="14" spans="1:21" ht="18" customHeight="1" x14ac:dyDescent="0.3">
      <c r="A14" s="8" t="s">
        <v>72</v>
      </c>
      <c r="B14" s="17">
        <v>60</v>
      </c>
      <c r="C14" s="7" t="s">
        <v>49</v>
      </c>
      <c r="G14" s="8" t="s">
        <v>73</v>
      </c>
      <c r="H14" s="19">
        <f t="shared" si="0"/>
        <v>5.6234132519034889E-10</v>
      </c>
      <c r="I14" s="7" t="s">
        <v>51</v>
      </c>
      <c r="K14" s="8" t="s">
        <v>74</v>
      </c>
      <c r="L14" s="15">
        <v>7</v>
      </c>
      <c r="M14" s="7" t="s">
        <v>43</v>
      </c>
      <c r="N14" s="7"/>
      <c r="O14" s="8" t="s">
        <v>74</v>
      </c>
      <c r="P14" s="15">
        <v>7.6</v>
      </c>
      <c r="Q14" s="7" t="s">
        <v>43</v>
      </c>
      <c r="S14" s="8" t="s">
        <v>75</v>
      </c>
      <c r="T14" s="25">
        <f t="shared" si="1"/>
        <v>0</v>
      </c>
      <c r="U14" s="18" t="str">
        <f>CONCATENATE("batch_ac_g.Xpr2_restart = (open.X_pr[2]*batch_ac_g.V_inoculum+",T14,"*batch_ac_g.V_add)/batch_ac_g.V_liq;")</f>
        <v>batch_ac_g.Xpr2_restart = (open.X_pr[2]*batch_ac_g.V_inoculum+0*batch_ac_g.V_add)/batch_ac_g.V_liq;</v>
      </c>
    </row>
    <row r="15" spans="1:21" ht="18" customHeight="1" x14ac:dyDescent="0.3">
      <c r="A15" s="8" t="s">
        <v>76</v>
      </c>
      <c r="B15" s="17">
        <v>14</v>
      </c>
      <c r="C15" s="7" t="s">
        <v>49</v>
      </c>
      <c r="G15" s="8" t="s">
        <v>77</v>
      </c>
      <c r="H15" s="19">
        <f t="shared" si="0"/>
        <v>2.1379620895022253E-13</v>
      </c>
      <c r="I15" s="7" t="s">
        <v>51</v>
      </c>
      <c r="K15" s="8" t="s">
        <v>78</v>
      </c>
      <c r="L15" s="15">
        <v>0</v>
      </c>
      <c r="M15" s="7" t="s">
        <v>79</v>
      </c>
      <c r="N15" s="7"/>
      <c r="O15" s="8" t="s">
        <v>78</v>
      </c>
      <c r="P15" s="15">
        <v>404.4</v>
      </c>
      <c r="Q15" s="7" t="s">
        <v>79</v>
      </c>
      <c r="S15" s="8" t="s">
        <v>80</v>
      </c>
      <c r="T15" s="25">
        <f t="shared" si="1"/>
        <v>0</v>
      </c>
      <c r="U15" s="18" t="str">
        <f>CONCATENATE("batch_ac_g.Xli_restart = (open.X_li*batch_ac_g.V_inoculum+",T15,"*batch_ac_g.V_add)/batch_ac_g.V_liq;")</f>
        <v>batch_ac_g.Xli_restart = (open.X_li*batch_ac_g.V_inoculum+0*batch_ac_g.V_add)/batch_ac_g.V_liq;</v>
      </c>
    </row>
    <row r="16" spans="1:21" ht="18" customHeight="1" x14ac:dyDescent="0.3">
      <c r="A16" s="8" t="s">
        <v>81</v>
      </c>
      <c r="B16" s="17">
        <v>31</v>
      </c>
      <c r="C16" s="7" t="s">
        <v>49</v>
      </c>
      <c r="G16" s="8" t="s">
        <v>82</v>
      </c>
      <c r="H16" s="19">
        <f t="shared" si="0"/>
        <v>6.1659500186148087E-8</v>
      </c>
      <c r="I16" s="7" t="s">
        <v>51</v>
      </c>
      <c r="K16" s="8" t="s">
        <v>83</v>
      </c>
      <c r="L16" s="15">
        <v>0</v>
      </c>
      <c r="M16" s="7" t="s">
        <v>43</v>
      </c>
      <c r="N16" s="7"/>
      <c r="O16" s="8" t="s">
        <v>83</v>
      </c>
      <c r="P16" s="15">
        <v>0</v>
      </c>
      <c r="Q16" s="7" t="s">
        <v>43</v>
      </c>
      <c r="S16" s="8" t="s">
        <v>84</v>
      </c>
      <c r="T16" s="7">
        <v>0</v>
      </c>
      <c r="U16" s="18" t="str">
        <f>CONCATENATE("batch_ac_g.Xp_restart = (open.X_p*batch_ac_g.V_inoculum+",T16,"*batch_ac_g.V_add)/batch_ac_g.V_liq;")</f>
        <v>batch_ac_g.Xp_restart = (open.X_p*batch_ac_g.V_inoculum+0*batch_ac_g.V_add)/batch_ac_g.V_liq;</v>
      </c>
    </row>
    <row r="17" spans="1:21" ht="18" customHeight="1" x14ac:dyDescent="0.3">
      <c r="A17" s="8" t="s">
        <v>85</v>
      </c>
      <c r="B17" s="17">
        <v>4.76</v>
      </c>
      <c r="C17" s="7" t="s">
        <v>43</v>
      </c>
      <c r="G17" s="8" t="s">
        <v>86</v>
      </c>
      <c r="H17" s="19">
        <f t="shared" si="0"/>
        <v>7.5857757502918299E-3</v>
      </c>
      <c r="I17" s="7" t="s">
        <v>51</v>
      </c>
      <c r="K17" s="8" t="s">
        <v>87</v>
      </c>
      <c r="L17" s="15">
        <v>0</v>
      </c>
      <c r="M17" s="7" t="s">
        <v>43</v>
      </c>
      <c r="N17" s="7"/>
      <c r="O17" s="8" t="s">
        <v>87</v>
      </c>
      <c r="P17" s="15">
        <v>0</v>
      </c>
      <c r="Q17" s="7" t="s">
        <v>43</v>
      </c>
      <c r="S17" s="8" t="s">
        <v>88</v>
      </c>
      <c r="T17" s="7">
        <v>0</v>
      </c>
      <c r="U17" s="18" t="str">
        <f>CONCATENATE("batch_ac_g.Si_restart = (open.S_i*batch_ac_g.V_inoculum+",T17,"*batch_ac_g.V_add)/batch_ac_g.V_liq;")</f>
        <v>batch_ac_g.Si_restart = (open.S_i*batch_ac_g.V_inoculum+0*batch_ac_g.V_add)/batch_ac_g.V_liq;</v>
      </c>
    </row>
    <row r="18" spans="1:21" ht="18" customHeight="1" x14ac:dyDescent="0.3">
      <c r="A18" s="8" t="s">
        <v>89</v>
      </c>
      <c r="B18" s="17">
        <v>4.88</v>
      </c>
      <c r="C18" s="7" t="s">
        <v>43</v>
      </c>
      <c r="G18" s="8" t="s">
        <v>90</v>
      </c>
      <c r="H18" s="19">
        <f t="shared" si="0"/>
        <v>1E-14</v>
      </c>
      <c r="I18" s="7" t="s">
        <v>91</v>
      </c>
      <c r="K18" s="8" t="s">
        <v>92</v>
      </c>
      <c r="L18" s="15">
        <v>0</v>
      </c>
      <c r="M18" s="7" t="s">
        <v>43</v>
      </c>
      <c r="N18" s="7"/>
      <c r="O18" s="8" t="s">
        <v>92</v>
      </c>
      <c r="P18" s="15">
        <v>0</v>
      </c>
      <c r="Q18" s="7" t="s">
        <v>43</v>
      </c>
      <c r="S18" s="8" t="s">
        <v>93</v>
      </c>
      <c r="T18" s="7">
        <v>0</v>
      </c>
      <c r="U18" s="18" t="str">
        <f>CONCATENATE("batch_ac_g.Ssu_restart = (open.S_su*batch_ac_g.V_inoculum+",T18,"*batch_ac_g.V_add)/batch_ac_g.V_liq;")</f>
        <v>batch_ac_g.Ssu_restart = (open.S_su*batch_ac_g.V_inoculum+0*batch_ac_g.V_add)/batch_ac_g.V_liq;</v>
      </c>
    </row>
    <row r="19" spans="1:21" ht="18" customHeight="1" x14ac:dyDescent="0.3">
      <c r="A19" s="8" t="s">
        <v>94</v>
      </c>
      <c r="B19" s="17">
        <v>4.82</v>
      </c>
      <c r="C19" s="7" t="s">
        <v>43</v>
      </c>
      <c r="K19" s="8" t="s">
        <v>95</v>
      </c>
      <c r="L19" s="15">
        <v>0</v>
      </c>
      <c r="M19" s="7" t="s">
        <v>43</v>
      </c>
      <c r="N19" s="7"/>
      <c r="O19" s="8" t="s">
        <v>95</v>
      </c>
      <c r="P19" s="15">
        <v>0</v>
      </c>
      <c r="Q19" s="7" t="s">
        <v>43</v>
      </c>
      <c r="S19" s="8" t="s">
        <v>93</v>
      </c>
      <c r="T19" s="7">
        <v>0</v>
      </c>
      <c r="U19" s="18" t="str">
        <f>CONCATENATE("batch_ac_g.Saa_restart = (open.S_aa*batch_ac_g.V_inoculum+",T19,"*batch_ac_g.V_add)/batch_ac_g.V_liq;")</f>
        <v>batch_ac_g.Saa_restart = (open.S_aa*batch_ac_g.V_inoculum+0*batch_ac_g.V_add)/batch_ac_g.V_liq;</v>
      </c>
    </row>
    <row r="20" spans="1:21" ht="18" customHeight="1" x14ac:dyDescent="0.3">
      <c r="A20" s="8" t="s">
        <v>96</v>
      </c>
      <c r="B20" s="17">
        <v>4.8600000000000003</v>
      </c>
      <c r="C20" s="7" t="s">
        <v>43</v>
      </c>
      <c r="K20" s="8" t="s">
        <v>97</v>
      </c>
      <c r="L20" s="15">
        <v>0</v>
      </c>
      <c r="M20" s="7" t="s">
        <v>43</v>
      </c>
      <c r="N20" s="7"/>
      <c r="O20" s="8" t="s">
        <v>97</v>
      </c>
      <c r="P20" s="15">
        <v>0</v>
      </c>
      <c r="Q20" s="7" t="s">
        <v>43</v>
      </c>
      <c r="S20" s="8" t="s">
        <v>98</v>
      </c>
      <c r="T20" s="7">
        <v>0</v>
      </c>
      <c r="U20" s="18" t="str">
        <f>CONCATENATE("batch_ac_g.Sfa_restart = (open.S_fa*batch_ac_g.V_inoculum+",T20,"*batch_ac_g.V_add)/batch_ac_g.V_liq;")</f>
        <v>batch_ac_g.Sfa_restart = (open.S_fa*batch_ac_g.V_inoculum+0*batch_ac_g.V_add)/batch_ac_g.V_liq;</v>
      </c>
    </row>
    <row r="21" spans="1:21" ht="18" customHeight="1" x14ac:dyDescent="0.3">
      <c r="A21" s="8" t="s">
        <v>99</v>
      </c>
      <c r="B21" s="17">
        <v>6.35</v>
      </c>
      <c r="C21" s="7" t="s">
        <v>43</v>
      </c>
      <c r="K21" s="7"/>
      <c r="L21" s="7"/>
      <c r="M21" s="7"/>
      <c r="N21" s="7"/>
      <c r="O21" s="7"/>
      <c r="P21" s="7"/>
      <c r="S21" s="8" t="s">
        <v>100</v>
      </c>
      <c r="T21" s="25">
        <f>(L11*$H$4/1000+P11*($H$2+$H$3)/1000)/($H$2+$H$3+$H$4)*1000</f>
        <v>0</v>
      </c>
      <c r="U21" s="18" t="str">
        <f>CONCATENATE("batch_ac_g.Sva_restart = (open.S_va*batch_ac_g.V_inoculum+",T21,"*batch_ac_g.V_add)/batch_ac_g.V_liq;")</f>
        <v>batch_ac_g.Sva_restart = (open.S_va*batch_ac_g.V_inoculum+0*batch_ac_g.V_add)/batch_ac_g.V_liq;</v>
      </c>
    </row>
    <row r="22" spans="1:21" ht="18" customHeight="1" x14ac:dyDescent="0.3">
      <c r="A22" s="8" t="s">
        <v>101</v>
      </c>
      <c r="B22" s="17">
        <v>9.25</v>
      </c>
      <c r="C22" s="7" t="s">
        <v>43</v>
      </c>
      <c r="K22" s="36" t="s">
        <v>102</v>
      </c>
      <c r="L22" s="36"/>
      <c r="M22" s="36"/>
      <c r="N22" s="7"/>
      <c r="O22" s="36" t="s">
        <v>103</v>
      </c>
      <c r="P22" s="36"/>
      <c r="Q22" s="36"/>
      <c r="S22" s="8" t="s">
        <v>104</v>
      </c>
      <c r="T22" s="25">
        <f>(L10*$H$4/1000+P10*($H$2+$H$3)/1000)/($H$2+$H$3+$H$4)*1000</f>
        <v>0</v>
      </c>
      <c r="U22" s="18" t="str">
        <f>CONCATENATE("batch_ac_g.Sbu_restart = (open.S_bu*batch_ac_g.V_inoculum+",T22,"*batch_ac_g.V_add)/batch_ac_g.V_liq;")</f>
        <v>batch_ac_g.Sbu_restart = (open.S_bu*batch_ac_g.V_inoculum+0*batch_ac_g.V_add)/batch_ac_g.V_liq;</v>
      </c>
    </row>
    <row r="23" spans="1:21" ht="18" customHeight="1" x14ac:dyDescent="0.3">
      <c r="A23" s="8" t="s">
        <v>105</v>
      </c>
      <c r="B23" s="17">
        <v>12.67</v>
      </c>
      <c r="C23" s="7" t="s">
        <v>43</v>
      </c>
      <c r="E23" s="7"/>
      <c r="F23" s="7"/>
      <c r="G23" s="7"/>
      <c r="H23" s="7"/>
      <c r="I23" s="7"/>
      <c r="K23" s="8" t="s">
        <v>106</v>
      </c>
      <c r="L23" s="13">
        <f>$L$5*$L$3*$L$4/1000/1000*$B$2</f>
        <v>0</v>
      </c>
      <c r="M23" s="7" t="s">
        <v>107</v>
      </c>
      <c r="N23" s="7"/>
      <c r="O23" s="8" t="s">
        <v>106</v>
      </c>
      <c r="P23" s="13">
        <f>$P$5*$P$3*$P$4/1000/1000*$B$2</f>
        <v>0</v>
      </c>
      <c r="Q23" s="7" t="s">
        <v>107</v>
      </c>
      <c r="S23" s="8" t="s">
        <v>108</v>
      </c>
      <c r="T23" s="25">
        <f>(L9*$H$4/1000+P9*($H$2+$H$3)/1000)/($H$2+$H$3+$H$4)*1000</f>
        <v>0</v>
      </c>
      <c r="U23" s="18" t="str">
        <f>CONCATENATE("batch_ac_g.Spro_restart = (open.S_pro*batch_ac_g.V_inoculum+",T23,"*batch_ac_g.V_add)/batch_ac_g.V_liq;")</f>
        <v>batch_ac_g.Spro_restart = (open.S_pro*batch_ac_g.V_inoculum+0*batch_ac_g.V_add)/batch_ac_g.V_liq;</v>
      </c>
    </row>
    <row r="24" spans="1:21" ht="18" customHeight="1" x14ac:dyDescent="0.3">
      <c r="A24" s="8" t="s">
        <v>109</v>
      </c>
      <c r="B24" s="17">
        <v>7.21</v>
      </c>
      <c r="C24" s="7" t="s">
        <v>43</v>
      </c>
      <c r="E24" s="7"/>
      <c r="F24" s="7"/>
      <c r="G24" s="7"/>
      <c r="H24" s="7"/>
      <c r="I24" s="7"/>
      <c r="K24" s="8" t="s">
        <v>110</v>
      </c>
      <c r="L24" s="13">
        <f>$L$6*L3*$L$4/1000/1000*B4*B5</f>
        <v>0</v>
      </c>
      <c r="M24" s="7" t="s">
        <v>107</v>
      </c>
      <c r="N24" s="7"/>
      <c r="O24" s="8" t="s">
        <v>110</v>
      </c>
      <c r="P24" s="13">
        <f>$P$6*P3*$P$4/1000/1000*B4*B5</f>
        <v>0</v>
      </c>
      <c r="Q24" s="7" t="s">
        <v>107</v>
      </c>
      <c r="S24" s="8" t="s">
        <v>111</v>
      </c>
      <c r="T24" s="25">
        <f>(L8*$H$4/1000+P8*($H$2+$H$3)/1000)/($H$2+$H$3+$H$4)*1000</f>
        <v>2.9501084598698482</v>
      </c>
      <c r="U24" s="18" t="str">
        <f>CONCATENATE("batch_ac_g.Sac_restart = (open.S_ac*batch_ac_g.V_inoculum+",T24,"*batch_ac_g.V_add)/batch_ac_g.V_liq;")</f>
        <v>batch_ac_g.Sac_restart = (open.S_ac*batch_ac_g.V_inoculum+2.95010845986985*batch_ac_g.V_add)/batch_ac_g.V_liq;</v>
      </c>
    </row>
    <row r="25" spans="1:21" ht="18" customHeight="1" x14ac:dyDescent="0.3">
      <c r="A25" s="8" t="s">
        <v>112</v>
      </c>
      <c r="B25" s="17">
        <v>2.12</v>
      </c>
      <c r="C25" s="7" t="s">
        <v>43</v>
      </c>
      <c r="E25" s="7"/>
      <c r="F25" s="7"/>
      <c r="G25" s="7"/>
      <c r="H25" s="7"/>
      <c r="I25" s="7"/>
      <c r="K25" s="8" t="s">
        <v>113</v>
      </c>
      <c r="L25" s="13">
        <f>$L$7*L3*$L$4/1000/1000*B6</f>
        <v>0</v>
      </c>
      <c r="M25" s="7" t="s">
        <v>107</v>
      </c>
      <c r="N25" s="7"/>
      <c r="O25" s="8" t="s">
        <v>113</v>
      </c>
      <c r="P25" s="13">
        <f>$P$7*P3*$P$4/1000/1000*B6</f>
        <v>0</v>
      </c>
      <c r="Q25" s="7" t="s">
        <v>107</v>
      </c>
      <c r="S25" s="8" t="s">
        <v>114</v>
      </c>
      <c r="T25" s="7">
        <v>0</v>
      </c>
      <c r="U25" s="18" t="str">
        <f>CONCATENATE("batch_ac_g.Sh2_restart = (open.S_h2*batch_ac_g.V_inoculum+",T25,"*batch_ac_g.V_add)/batch_ac_g.V_liq;")</f>
        <v>batch_ac_g.Sh2_restart = (open.S_h2*batch_ac_g.V_inoculum+0*batch_ac_g.V_add)/batch_ac_g.V_liq;</v>
      </c>
    </row>
    <row r="26" spans="1:21" ht="18" customHeight="1" x14ac:dyDescent="0.3">
      <c r="A26" s="8" t="s">
        <v>115</v>
      </c>
      <c r="B26" s="17">
        <v>14</v>
      </c>
      <c r="C26" s="7" t="s">
        <v>43</v>
      </c>
      <c r="E26" s="7"/>
      <c r="F26" s="7"/>
      <c r="G26" s="7"/>
      <c r="H26" s="7"/>
      <c r="I26" s="7"/>
      <c r="K26" s="8" t="s">
        <v>116</v>
      </c>
      <c r="L26" s="13">
        <f>IF(L3=0,0,SUM(L23:L25,L8:L11))</f>
        <v>0</v>
      </c>
      <c r="M26" s="7" t="s">
        <v>107</v>
      </c>
      <c r="N26" s="7"/>
      <c r="O26" s="8" t="s">
        <v>116</v>
      </c>
      <c r="P26" s="13">
        <f>IF(P3=0,0,SUM(P23:P25,P8:P11))</f>
        <v>0</v>
      </c>
      <c r="Q26" s="7" t="s">
        <v>107</v>
      </c>
      <c r="S26" s="8" t="s">
        <v>117</v>
      </c>
      <c r="T26" s="7">
        <v>0</v>
      </c>
      <c r="U26" s="18" t="str">
        <f>CONCATENATE("batch_ac_g.Sch4_restart = (open.S_ch4*batch_ac_g.V_inoculum+",T26,"*batch_ac_g.V_add)/batch_ac_g.V_liq;")</f>
        <v>batch_ac_g.Sch4_restart = (open.S_ch4*batch_ac_g.V_inoculum+0*batch_ac_g.V_add)/batch_ac_g.V_liq;</v>
      </c>
    </row>
    <row r="27" spans="1:21" ht="18" customHeight="1" x14ac:dyDescent="0.3">
      <c r="A27" s="8" t="s">
        <v>118</v>
      </c>
      <c r="B27" s="17">
        <v>64</v>
      </c>
      <c r="C27" s="7" t="s">
        <v>119</v>
      </c>
      <c r="E27" s="7"/>
      <c r="F27" s="7"/>
      <c r="G27" s="7"/>
      <c r="H27" s="7"/>
      <c r="I27" s="7"/>
      <c r="K27" s="8" t="s">
        <v>120</v>
      </c>
      <c r="L27" s="13">
        <f>IF(L3=0,0,$L$2*$L$3*$L$4/1000/$L$26/(350*(1-$B$8)))</f>
        <v>0</v>
      </c>
      <c r="M27" s="7" t="s">
        <v>43</v>
      </c>
      <c r="N27" s="7"/>
      <c r="O27" s="8" t="s">
        <v>120</v>
      </c>
      <c r="P27" s="13">
        <f>IF(P3=0,0,$P$2*$P$3*$P$4/1000/$P$26/(350*(1-$B$8)))</f>
        <v>0</v>
      </c>
      <c r="Q27" s="7" t="s">
        <v>43</v>
      </c>
      <c r="S27" s="8" t="s">
        <v>121</v>
      </c>
      <c r="T27" s="25">
        <f>IF(L15=0,(P54*($H$2+$H$3)/1000)/($H$2+$H$3+$H$4)*1000,(L54*$H$4/1000+P54*($H$2+$H$3)/1000)/($H$2+$H$3+$H$4)*1000)</f>
        <v>8.2459443099155601E-3</v>
      </c>
      <c r="U27" s="18" t="str">
        <f>CONCATENATE("batch_ac_g.Sic_restart = (open.S_ic*batch_ac_g.V_inoculum+",T27,"*batch_ac_g.V_add)/batch_ac_g.V_liq;")</f>
        <v>batch_ac_g.Sic_restart = (open.S_ic*batch_ac_g.V_inoculum+0.00824594430991556*batch_ac_g.V_add)/batch_ac_g.V_liq;</v>
      </c>
    </row>
    <row r="28" spans="1:21" ht="18" customHeight="1" x14ac:dyDescent="0.3">
      <c r="A28" s="8" t="s">
        <v>122</v>
      </c>
      <c r="B28" s="17">
        <v>112</v>
      </c>
      <c r="C28" s="7" t="s">
        <v>119</v>
      </c>
      <c r="E28" s="7"/>
      <c r="F28" s="7"/>
      <c r="G28" s="7"/>
      <c r="H28" s="7"/>
      <c r="I28" s="7"/>
      <c r="K28" s="8" t="s">
        <v>57</v>
      </c>
      <c r="L28" s="26">
        <f>(1-$L$27)*$L$26</f>
        <v>0</v>
      </c>
      <c r="M28" s="7" t="s">
        <v>107</v>
      </c>
      <c r="O28" s="8" t="s">
        <v>57</v>
      </c>
      <c r="P28" s="26">
        <f>(1-$P$27)*$P$26</f>
        <v>0</v>
      </c>
      <c r="Q28" s="7" t="s">
        <v>107</v>
      </c>
      <c r="S28" s="22" t="s">
        <v>123</v>
      </c>
      <c r="T28" s="25">
        <f>(L44*$H$4/1000+P44*($H$2+$H$3)/1000)/($H$2+$H$3+$H$4)*1000</f>
        <v>0</v>
      </c>
      <c r="U28" s="18" t="str">
        <f>CONCATENATE("batch_ac_g.Sin_restart = (open.S_in*batch_ac_g.V_inoculum+",T28,"*batch_ac_g.V_add)/batch_ac_g.V_liq;")</f>
        <v>batch_ac_g.Sin_restart = (open.S_in*batch_ac_g.V_inoculum+0*batch_ac_g.V_add)/batch_ac_g.V_liq;</v>
      </c>
    </row>
    <row r="29" spans="1:21" ht="18" customHeight="1" x14ac:dyDescent="0.3">
      <c r="A29" s="8" t="s">
        <v>124</v>
      </c>
      <c r="B29" s="17">
        <v>160</v>
      </c>
      <c r="C29" s="7" t="s">
        <v>119</v>
      </c>
      <c r="E29" s="7"/>
      <c r="F29" s="7"/>
      <c r="G29" s="7"/>
      <c r="H29" s="7"/>
      <c r="I29" s="7"/>
      <c r="K29" s="8" t="s">
        <v>61</v>
      </c>
      <c r="L29" s="26">
        <f>(1-$L$19)*($L$23-$L$28*$L$16)</f>
        <v>0</v>
      </c>
      <c r="M29" s="7" t="s">
        <v>107</v>
      </c>
      <c r="O29" s="8" t="s">
        <v>61</v>
      </c>
      <c r="P29" s="26">
        <f>(1-$P$19)*($P$23-$P$28*$P$16)</f>
        <v>0</v>
      </c>
      <c r="Q29" s="7" t="s">
        <v>107</v>
      </c>
      <c r="S29" s="8" t="s">
        <v>125</v>
      </c>
      <c r="T29" s="25">
        <f>(L47*$H$4/1000+P47*($H$2+$H$3)/1000)/($H$2+$H$3+$H$4)*1000</f>
        <v>0</v>
      </c>
      <c r="U29" s="18" t="str">
        <f>CONCATENATE("batch_ac_g.Sip_restart = (open.S_ip*batch_ac_g.V_inoculum+",T29,"*batch_ac_g.V_add)/batch_ac_g.V_liq;")</f>
        <v>batch_ac_g.Sip_restart = (open.S_ip*batch_ac_g.V_inoculum+0*batch_ac_g.V_add)/batch_ac_g.V_liq;</v>
      </c>
    </row>
    <row r="30" spans="1:21" ht="18" customHeight="1" x14ac:dyDescent="0.3">
      <c r="A30" s="8" t="s">
        <v>126</v>
      </c>
      <c r="B30" s="17">
        <v>208</v>
      </c>
      <c r="C30" s="7" t="s">
        <v>119</v>
      </c>
      <c r="K30" s="8" t="s">
        <v>66</v>
      </c>
      <c r="L30" s="26">
        <f>($L$19)*($L$23-$L$28*$L$16)</f>
        <v>0</v>
      </c>
      <c r="M30" s="7" t="s">
        <v>107</v>
      </c>
      <c r="O30" s="8" t="s">
        <v>66</v>
      </c>
      <c r="P30" s="26">
        <f>($P$19)*($P$23-$P$28*$P$16)</f>
        <v>0</v>
      </c>
      <c r="Q30" s="7" t="s">
        <v>107</v>
      </c>
      <c r="S30" s="8" t="s">
        <v>127</v>
      </c>
      <c r="T30" s="25">
        <f>N80</f>
        <v>9.3596203569692893E-2</v>
      </c>
      <c r="U30" s="18" t="str">
        <f>CONCATENATE("batch_ac_g.Scat_restart = (open.S_cat*batch_ac_g.V_inoculum+",T30,"*batch_ac_g.V_add)/batch_ac_g.V_liq;")</f>
        <v>batch_ac_g.Scat_restart = (open.S_cat*batch_ac_g.V_inoculum+0.0935962035696929*batch_ac_g.V_add)/batch_ac_g.V_liq;</v>
      </c>
    </row>
    <row r="31" spans="1:21" ht="18" customHeight="1" x14ac:dyDescent="0.3">
      <c r="K31" s="8" t="s">
        <v>71</v>
      </c>
      <c r="L31" s="26">
        <f>(1-$L$20)*($L$24-$L$28*$L$17)</f>
        <v>0</v>
      </c>
      <c r="M31" s="7" t="s">
        <v>107</v>
      </c>
      <c r="O31" s="8" t="s">
        <v>71</v>
      </c>
      <c r="P31" s="26">
        <f>(1-$P$20)*($P$24-$P$28*$P$17)</f>
        <v>0</v>
      </c>
      <c r="Q31" s="7" t="s">
        <v>107</v>
      </c>
      <c r="S31" s="8" t="s">
        <v>128</v>
      </c>
      <c r="T31" s="30">
        <v>0</v>
      </c>
      <c r="U31" s="18" t="str">
        <f>CONCATENATE("batch_ac_g.Sca_restart = (open.S_ca*batch_ac_g.V_inoculum+",T31,"*batch_ac_g.V_add)/batch_ac_g.V_liq;")</f>
        <v>batch_ac_g.Sca_restart = (open.S_ca*batch_ac_g.V_inoculum+0*batch_ac_g.V_add)/batch_ac_g.V_liq;</v>
      </c>
    </row>
    <row r="32" spans="1:21" ht="18" customHeight="1" x14ac:dyDescent="0.3">
      <c r="K32" s="8" t="s">
        <v>75</v>
      </c>
      <c r="L32" s="26">
        <f>($L$20)*($L$24-$L$28*$L$17)</f>
        <v>0</v>
      </c>
      <c r="M32" s="7" t="s">
        <v>107</v>
      </c>
      <c r="O32" s="8" t="s">
        <v>75</v>
      </c>
      <c r="P32" s="26">
        <f>($P$20)*($P$24-$P$28*$P$17)</f>
        <v>0</v>
      </c>
      <c r="Q32" s="7" t="s">
        <v>107</v>
      </c>
      <c r="S32" s="8" t="s">
        <v>129</v>
      </c>
      <c r="T32" s="30">
        <v>0</v>
      </c>
      <c r="U32" s="18" t="str">
        <f>CONCATENATE("batch_ac_g.Smg_restart = (open.S_mg*batch_ac_g.V_inoculum+",T32,"*batch_ac_g.V_add)/batch_ac_g.V_liq;")</f>
        <v>batch_ac_g.Smg_restart = (open.S_mg*batch_ac_g.V_inoculum+0*batch_ac_g.V_add)/batch_ac_g.V_liq;</v>
      </c>
    </row>
    <row r="33" spans="1:21" ht="18" customHeight="1" x14ac:dyDescent="0.3">
      <c r="K33" s="8" t="s">
        <v>80</v>
      </c>
      <c r="L33" s="26">
        <f>($L$25-$L$28*$L$18)</f>
        <v>0</v>
      </c>
      <c r="M33" s="7" t="s">
        <v>107</v>
      </c>
      <c r="O33" s="8" t="s">
        <v>80</v>
      </c>
      <c r="P33" s="26">
        <f>($P$25-$P$28*$P$18)</f>
        <v>0</v>
      </c>
      <c r="Q33" s="7" t="s">
        <v>107</v>
      </c>
      <c r="S33" s="8" t="s">
        <v>130</v>
      </c>
      <c r="T33" s="25">
        <f>N79</f>
        <v>0.04</v>
      </c>
      <c r="U33" s="18" t="str">
        <f>CONCATENATE("batch_ac_g.San_restart = (open.S_an*batch_ac_g.V_inoculum+",T33,"*batch_ac_g.V_add)/batch_ac_g.V_liq;")</f>
        <v>batch_ac_g.San_restart = (open.S_an*batch_ac_g.V_inoculum+0.04*batch_ac_g.V_add)/batch_ac_g.V_liq;</v>
      </c>
    </row>
    <row r="34" spans="1:21" ht="18" customHeight="1" x14ac:dyDescent="0.3">
      <c r="K34" s="8" t="s">
        <v>100</v>
      </c>
      <c r="L34" s="13">
        <f>L11</f>
        <v>0</v>
      </c>
      <c r="M34" s="7" t="s">
        <v>107</v>
      </c>
      <c r="O34" s="8" t="s">
        <v>100</v>
      </c>
      <c r="P34" s="13">
        <f>P11</f>
        <v>0</v>
      </c>
      <c r="Q34" s="7" t="s">
        <v>107</v>
      </c>
      <c r="S34" s="8" t="s">
        <v>131</v>
      </c>
      <c r="T34" s="7">
        <v>0</v>
      </c>
      <c r="U34" s="18" t="str">
        <f>CONCATENATE("batch_ac_g.ash_restart = (open.ash*batch_ac_g.V_inoculum+",T34,"*batch_ac_g.V_add)/batch_ac_g.V_liq;")</f>
        <v>batch_ac_g.ash_restart = (open.ash*batch_ac_g.V_inoculum+0*batch_ac_g.V_add)/batch_ac_g.V_liq;</v>
      </c>
    </row>
    <row r="35" spans="1:21" ht="18" customHeight="1" x14ac:dyDescent="0.3">
      <c r="A35" s="2"/>
      <c r="K35" s="8" t="s">
        <v>104</v>
      </c>
      <c r="L35" s="13">
        <f>L10</f>
        <v>0</v>
      </c>
      <c r="M35" s="7" t="s">
        <v>107</v>
      </c>
      <c r="O35" s="8" t="s">
        <v>104</v>
      </c>
      <c r="P35" s="13">
        <f>P10</f>
        <v>0</v>
      </c>
      <c r="Q35" s="7" t="s">
        <v>107</v>
      </c>
      <c r="S35" s="8" t="s">
        <v>132</v>
      </c>
      <c r="T35" s="7">
        <v>0</v>
      </c>
      <c r="U35" s="18" t="str">
        <f>CONCATENATE("batch_ac_g.Xlig_restart = (open.X_lig*batch_ac_g.V_inoculum+",T35,"*batch_ac_g.V_add)/batch_ac_g.V_liq;")</f>
        <v>batch_ac_g.Xlig_restart = (open.X_lig*batch_ac_g.V_inoculum+0*batch_ac_g.V_add)/batch_ac_g.V_liq;</v>
      </c>
    </row>
    <row r="36" spans="1:21" ht="18" customHeight="1" x14ac:dyDescent="0.3">
      <c r="K36" s="8" t="s">
        <v>108</v>
      </c>
      <c r="L36" s="13">
        <f>L9</f>
        <v>0</v>
      </c>
      <c r="M36" s="7" t="s">
        <v>107</v>
      </c>
      <c r="O36" s="8" t="s">
        <v>108</v>
      </c>
      <c r="P36" s="13">
        <f>P9</f>
        <v>0</v>
      </c>
      <c r="Q36" s="7" t="s">
        <v>107</v>
      </c>
    </row>
    <row r="37" spans="1:21" ht="18" customHeight="1" x14ac:dyDescent="0.3">
      <c r="K37" s="8" t="s">
        <v>111</v>
      </c>
      <c r="L37" s="13">
        <f>L8</f>
        <v>85</v>
      </c>
      <c r="M37" s="7" t="s">
        <v>107</v>
      </c>
      <c r="O37" s="8" t="s">
        <v>111</v>
      </c>
      <c r="P37" s="13">
        <f>P8</f>
        <v>0</v>
      </c>
      <c r="Q37" s="7" t="s">
        <v>107</v>
      </c>
    </row>
    <row r="38" spans="1:21" ht="18" customHeight="1" x14ac:dyDescent="0.3">
      <c r="K38" s="2" t="s">
        <v>133</v>
      </c>
      <c r="L38" s="20">
        <f>IF(L14=0,0,(10^(-L14)))</f>
        <v>9.9999999999999995E-8</v>
      </c>
      <c r="M38" s="1" t="s">
        <v>51</v>
      </c>
      <c r="O38" s="2" t="s">
        <v>133</v>
      </c>
      <c r="P38" s="20">
        <f>IF(P14=0,0,(10^(-P14)))</f>
        <v>2.5118864315095751E-8</v>
      </c>
      <c r="Q38" s="1" t="s">
        <v>51</v>
      </c>
    </row>
    <row r="39" spans="1:21" ht="18" customHeight="1" x14ac:dyDescent="0.3">
      <c r="K39" s="2" t="s">
        <v>134</v>
      </c>
      <c r="L39" s="20">
        <f>IF(L14=0,0,$H$18/L38)</f>
        <v>1.0000000000000001E-7</v>
      </c>
      <c r="M39" s="1" t="s">
        <v>51</v>
      </c>
      <c r="O39" s="2" t="s">
        <v>134</v>
      </c>
      <c r="P39" s="20">
        <f>IF(P14=0,0,$H$18/P38)</f>
        <v>3.9810717055349803E-7</v>
      </c>
      <c r="Q39" s="1" t="s">
        <v>51</v>
      </c>
    </row>
    <row r="40" spans="1:21" ht="18" customHeight="1" x14ac:dyDescent="0.3">
      <c r="A40" s="8"/>
      <c r="K40" s="2" t="s">
        <v>135</v>
      </c>
      <c r="L40" s="20">
        <f>L8/$B$27*$H$9/(L38+$H$9)</f>
        <v>1.3205261650632394</v>
      </c>
      <c r="M40" s="1" t="s">
        <v>51</v>
      </c>
      <c r="O40" s="2" t="s">
        <v>135</v>
      </c>
      <c r="P40" s="20">
        <f>P8/$B$27*$H$9/(P38+$H$9)</f>
        <v>0</v>
      </c>
      <c r="Q40" s="1" t="s">
        <v>51</v>
      </c>
    </row>
    <row r="41" spans="1:21" ht="18" customHeight="1" x14ac:dyDescent="0.3">
      <c r="K41" s="2" t="s">
        <v>136</v>
      </c>
      <c r="L41" s="20">
        <f>L9/$B$28*$H$10/(L38+$H$10)</f>
        <v>0</v>
      </c>
      <c r="M41" s="1" t="s">
        <v>51</v>
      </c>
      <c r="O41" s="2" t="s">
        <v>136</v>
      </c>
      <c r="P41" s="20">
        <f>P9/$B$28*$H$10/(P38+$H$10)</f>
        <v>0</v>
      </c>
      <c r="Q41" s="1" t="s">
        <v>51</v>
      </c>
    </row>
    <row r="42" spans="1:21" ht="18" customHeight="1" x14ac:dyDescent="0.3">
      <c r="K42" s="2" t="s">
        <v>137</v>
      </c>
      <c r="L42" s="20">
        <f>L10/$B$29*$H$11/(L38+$H$11)</f>
        <v>0</v>
      </c>
      <c r="M42" s="1" t="s">
        <v>51</v>
      </c>
      <c r="O42" s="2" t="s">
        <v>137</v>
      </c>
      <c r="P42" s="20">
        <f>P10/$B$29*$H$11/(P38+$H$11)</f>
        <v>0</v>
      </c>
      <c r="Q42" s="1" t="s">
        <v>51</v>
      </c>
    </row>
    <row r="43" spans="1:21" ht="18" customHeight="1" x14ac:dyDescent="0.3">
      <c r="K43" s="2" t="s">
        <v>138</v>
      </c>
      <c r="L43" s="20">
        <f>L11/$B$30*$H$12/(L38+$H$12)</f>
        <v>0</v>
      </c>
      <c r="M43" s="1" t="s">
        <v>51</v>
      </c>
      <c r="O43" s="2" t="s">
        <v>138</v>
      </c>
      <c r="P43" s="20">
        <f>P11/$B$30*$H$12/(P38+$H$12)</f>
        <v>0</v>
      </c>
      <c r="Q43" s="1" t="s">
        <v>51</v>
      </c>
    </row>
    <row r="44" spans="1:21" ht="18" customHeight="1" x14ac:dyDescent="0.3">
      <c r="K44" s="2" t="s">
        <v>123</v>
      </c>
      <c r="L44" s="20">
        <f>L12/$B$15/1000</f>
        <v>0</v>
      </c>
      <c r="M44" s="1" t="s">
        <v>51</v>
      </c>
      <c r="O44" s="2" t="s">
        <v>123</v>
      </c>
      <c r="P44" s="20">
        <f>P12/$B$15/1000</f>
        <v>0</v>
      </c>
      <c r="Q44" s="1" t="s">
        <v>51</v>
      </c>
    </row>
    <row r="45" spans="1:21" ht="18" customHeight="1" x14ac:dyDescent="0.3">
      <c r="K45" s="2" t="s">
        <v>139</v>
      </c>
      <c r="L45" s="20">
        <f>L44*L38/($H$14+L38)</f>
        <v>0</v>
      </c>
      <c r="M45" s="1" t="s">
        <v>51</v>
      </c>
      <c r="O45" s="2" t="s">
        <v>139</v>
      </c>
      <c r="P45" s="20">
        <f>P44*P38/($H$14+P38)</f>
        <v>0</v>
      </c>
      <c r="Q45" s="1" t="s">
        <v>51</v>
      </c>
    </row>
    <row r="46" spans="1:21" ht="18" customHeight="1" x14ac:dyDescent="0.3">
      <c r="K46" s="2" t="s">
        <v>140</v>
      </c>
      <c r="L46" s="20">
        <f>L44-L45</f>
        <v>0</v>
      </c>
      <c r="M46" s="1" t="s">
        <v>51</v>
      </c>
      <c r="O46" s="2" t="s">
        <v>140</v>
      </c>
      <c r="P46" s="20">
        <f>P44-P45</f>
        <v>0</v>
      </c>
      <c r="Q46" s="1" t="s">
        <v>51</v>
      </c>
    </row>
    <row r="47" spans="1:21" ht="18" customHeight="1" x14ac:dyDescent="0.3">
      <c r="K47" s="2" t="s">
        <v>125</v>
      </c>
      <c r="L47" s="20">
        <f>L13/$B$16/1000</f>
        <v>0</v>
      </c>
      <c r="M47" s="6" t="s">
        <v>51</v>
      </c>
      <c r="O47" s="2" t="s">
        <v>125</v>
      </c>
      <c r="P47" s="20">
        <f>P13/$B$16/1000</f>
        <v>0</v>
      </c>
      <c r="Q47" s="6" t="s">
        <v>51</v>
      </c>
    </row>
    <row r="48" spans="1:21" ht="18" customHeight="1" x14ac:dyDescent="0.3">
      <c r="K48" s="2" t="s">
        <v>141</v>
      </c>
      <c r="L48" s="20">
        <f>$H$15*L47/($H$15+L38+L38^2/$H$16+L38^3/($H$16*$H$17))</f>
        <v>0</v>
      </c>
      <c r="M48" s="6" t="s">
        <v>51</v>
      </c>
      <c r="O48" s="2" t="s">
        <v>141</v>
      </c>
      <c r="P48" s="20">
        <f>$H$15*P47/($H$15+P38+P38^2/$H$16+P38^3/($H$16*$H$17))</f>
        <v>0</v>
      </c>
      <c r="Q48" s="6" t="s">
        <v>51</v>
      </c>
    </row>
    <row r="49" spans="11:17" ht="18" customHeight="1" x14ac:dyDescent="0.3">
      <c r="K49" s="2" t="s">
        <v>142</v>
      </c>
      <c r="L49" s="27">
        <f>$H$16*L47/($H$15*$H$16/L38+$H$16+L38+(L38^2)/$H$17)</f>
        <v>0</v>
      </c>
      <c r="M49" s="6" t="s">
        <v>51</v>
      </c>
      <c r="O49" s="2" t="s">
        <v>142</v>
      </c>
      <c r="P49" s="20">
        <f>$H$16*P47/($H$15*$H$16/P38+$H$16+P38+(P38^2)/$H$17)</f>
        <v>0</v>
      </c>
      <c r="Q49" s="6" t="s">
        <v>51</v>
      </c>
    </row>
    <row r="50" spans="11:17" ht="18" customHeight="1" x14ac:dyDescent="0.3">
      <c r="K50" s="2" t="s">
        <v>143</v>
      </c>
      <c r="L50" s="27">
        <f>L47*$H$17/(L38+$H$17+$H$17*$H$16/L38+$H$17*$H$16*$H$15/(L38^2))</f>
        <v>0</v>
      </c>
      <c r="M50" s="6" t="s">
        <v>51</v>
      </c>
      <c r="O50" s="2" t="s">
        <v>143</v>
      </c>
      <c r="P50" s="20">
        <f>P47*$H$17/(P38+$H$17+$H$17*$H$16/P38+$H$17*$H$16*$H$15/(P38^2))</f>
        <v>0</v>
      </c>
      <c r="Q50" s="6" t="s">
        <v>51</v>
      </c>
    </row>
    <row r="51" spans="11:17" ht="18" customHeight="1" x14ac:dyDescent="0.3">
      <c r="K51" s="2" t="s">
        <v>144</v>
      </c>
      <c r="L51" s="20">
        <f>L47-L48-L49-L50</f>
        <v>0</v>
      </c>
      <c r="M51" s="6" t="s">
        <v>51</v>
      </c>
      <c r="O51" s="2" t="s">
        <v>144</v>
      </c>
      <c r="P51" s="20">
        <f>P47-P48-P49-P50</f>
        <v>0</v>
      </c>
      <c r="Q51" s="6" t="s">
        <v>51</v>
      </c>
    </row>
    <row r="52" spans="11:17" ht="18" customHeight="1" x14ac:dyDescent="0.3">
      <c r="K52" s="2" t="s">
        <v>145</v>
      </c>
      <c r="L52" s="24">
        <f>L15/$B$13*2/1000</f>
        <v>0</v>
      </c>
      <c r="M52" s="1" t="s">
        <v>51</v>
      </c>
      <c r="O52" s="2" t="s">
        <v>145</v>
      </c>
      <c r="P52" s="24">
        <f>P15/$B$13*2/1000</f>
        <v>8.0879999999999997E-3</v>
      </c>
      <c r="Q52" s="1" t="s">
        <v>51</v>
      </c>
    </row>
    <row r="53" spans="11:17" ht="18" customHeight="1" x14ac:dyDescent="0.3">
      <c r="K53" s="2" t="s">
        <v>146</v>
      </c>
      <c r="L53" s="24">
        <f>L52-SUM(L40:L43)-L39+L38-L46-L49-2*L48+L51</f>
        <v>-1.3205261650632394</v>
      </c>
      <c r="M53" s="1" t="s">
        <v>51</v>
      </c>
      <c r="O53" s="2" t="s">
        <v>146</v>
      </c>
      <c r="P53" s="24">
        <f>P52-SUM(P40:P43)-P39+P38-P46-P49-2*P48+P51</f>
        <v>8.0876270116937606E-3</v>
      </c>
      <c r="Q53" s="1" t="s">
        <v>51</v>
      </c>
    </row>
    <row r="54" spans="11:17" ht="18" customHeight="1" x14ac:dyDescent="0.3">
      <c r="K54" s="2" t="s">
        <v>121</v>
      </c>
      <c r="L54" s="24">
        <f>L53*(L38+$H$13)/$H$13</f>
        <v>-1.616155149039205</v>
      </c>
      <c r="M54" s="1" t="s">
        <v>51</v>
      </c>
      <c r="O54" s="2" t="s">
        <v>121</v>
      </c>
      <c r="P54" s="24">
        <f>P53*(P38+$H$13)/$H$13</f>
        <v>8.5424277008338718E-3</v>
      </c>
      <c r="Q54" s="1" t="s">
        <v>51</v>
      </c>
    </row>
    <row r="55" spans="11:17" ht="18" customHeight="1" x14ac:dyDescent="0.3">
      <c r="K55" s="2" t="s">
        <v>147</v>
      </c>
      <c r="L55" s="24">
        <f>L54-L53</f>
        <v>-0.2956289839759656</v>
      </c>
      <c r="M55" s="1" t="s">
        <v>51</v>
      </c>
      <c r="O55" s="2" t="s">
        <v>147</v>
      </c>
      <c r="P55" s="24">
        <f>P54-P53</f>
        <v>4.5480068914011129E-4</v>
      </c>
      <c r="Q55" s="1" t="s">
        <v>51</v>
      </c>
    </row>
    <row r="56" spans="11:17" ht="18" customHeight="1" x14ac:dyDescent="0.3">
      <c r="K56" s="2" t="s">
        <v>148</v>
      </c>
      <c r="L56" s="23">
        <f>L38-L39-L40-L41-L42-L43+L45-3*L48-2*L49-L50+L57</f>
        <v>5.3529167118785637E-2</v>
      </c>
      <c r="M56" s="1" t="s">
        <v>149</v>
      </c>
      <c r="O56" s="2" t="s">
        <v>148</v>
      </c>
      <c r="P56" s="23">
        <f>P38-P39-P40-P41-P42-P43+P45-3*P48-2*P49-P50+P57</f>
        <v>-8.838331682324711E-8</v>
      </c>
      <c r="Q56" s="1" t="s">
        <v>149</v>
      </c>
    </row>
    <row r="57" spans="11:17" ht="18" customHeight="1" x14ac:dyDescent="0.3">
      <c r="K57" s="2" t="s">
        <v>150</v>
      </c>
      <c r="L57" s="4">
        <v>1.374055332182025</v>
      </c>
      <c r="M57" s="1" t="s">
        <v>51</v>
      </c>
      <c r="O57" s="2" t="s">
        <v>150</v>
      </c>
      <c r="P57" s="4">
        <v>2.8460498941515519E-7</v>
      </c>
      <c r="Q57" s="1" t="s">
        <v>51</v>
      </c>
    </row>
    <row r="58" spans="11:17" ht="18" customHeight="1" x14ac:dyDescent="0.3">
      <c r="K58" s="2" t="s">
        <v>130</v>
      </c>
      <c r="L58" s="28">
        <v>0.02</v>
      </c>
      <c r="M58" s="1" t="s">
        <v>51</v>
      </c>
      <c r="O58" s="2" t="s">
        <v>130</v>
      </c>
      <c r="P58" s="28">
        <v>0.02</v>
      </c>
      <c r="Q58" s="1" t="s">
        <v>51</v>
      </c>
    </row>
    <row r="59" spans="11:17" ht="18" customHeight="1" x14ac:dyDescent="0.3">
      <c r="K59" s="2" t="s">
        <v>127</v>
      </c>
      <c r="L59" s="29">
        <f>L57+L58</f>
        <v>1.394055332182025</v>
      </c>
      <c r="M59" s="1" t="s">
        <v>51</v>
      </c>
      <c r="O59" s="2" t="s">
        <v>127</v>
      </c>
      <c r="P59" s="29">
        <f>P57+P58</f>
        <v>2.0000284604989416E-2</v>
      </c>
      <c r="Q59" s="1" t="s">
        <v>51</v>
      </c>
    </row>
    <row r="62" spans="11:17" ht="18" customHeight="1" x14ac:dyDescent="0.3">
      <c r="M62" s="36" t="s">
        <v>151</v>
      </c>
      <c r="N62" s="36"/>
      <c r="O62" s="36"/>
    </row>
    <row r="63" spans="11:17" ht="18" customHeight="1" x14ac:dyDescent="0.3">
      <c r="M63" s="2" t="s">
        <v>133</v>
      </c>
      <c r="N63" s="20">
        <f>(L38*$H$4/1000+P38*($H$2+$H$3)/1000)/($H$2+$H$3+$H$4)*1000</f>
        <v>2.7717775748845138E-8</v>
      </c>
      <c r="O63" s="1" t="s">
        <v>51</v>
      </c>
    </row>
    <row r="64" spans="11:17" ht="18" customHeight="1" x14ac:dyDescent="0.3">
      <c r="M64" s="2" t="s">
        <v>134</v>
      </c>
      <c r="N64" s="20">
        <f>$H$18/N63</f>
        <v>3.6077930966075623E-7</v>
      </c>
      <c r="O64" s="1" t="s">
        <v>51</v>
      </c>
    </row>
    <row r="65" spans="13:15" ht="18" customHeight="1" x14ac:dyDescent="0.3">
      <c r="M65" s="2" t="s">
        <v>135</v>
      </c>
      <c r="N65" s="20">
        <f>(L40*$H$4/1000+P40*($H$2+$H$3)/1000)/($H$2+$H$3+$H$4)*1000</f>
        <v>4.5831710718030001E-2</v>
      </c>
      <c r="O65" s="1" t="s">
        <v>51</v>
      </c>
    </row>
    <row r="66" spans="13:15" ht="18" customHeight="1" x14ac:dyDescent="0.3">
      <c r="M66" s="2" t="s">
        <v>136</v>
      </c>
      <c r="N66" s="20">
        <f t="shared" ref="N66:N68" si="2">(L41*$H$4/1000+P41*($H$2+$H$3)/1000)/($H$2+$H$3+$H$4)*1000</f>
        <v>0</v>
      </c>
      <c r="O66" s="1" t="s">
        <v>51</v>
      </c>
    </row>
    <row r="67" spans="13:15" ht="18" customHeight="1" x14ac:dyDescent="0.3">
      <c r="M67" s="2" t="s">
        <v>137</v>
      </c>
      <c r="N67" s="20">
        <f t="shared" si="2"/>
        <v>0</v>
      </c>
      <c r="O67" s="1" t="s">
        <v>51</v>
      </c>
    </row>
    <row r="68" spans="13:15" ht="18" customHeight="1" x14ac:dyDescent="0.3">
      <c r="M68" s="2" t="s">
        <v>138</v>
      </c>
      <c r="N68" s="20">
        <f t="shared" si="2"/>
        <v>0</v>
      </c>
      <c r="O68" s="1" t="s">
        <v>51</v>
      </c>
    </row>
    <row r="69" spans="13:15" ht="18" customHeight="1" x14ac:dyDescent="0.3">
      <c r="M69" s="2" t="s">
        <v>139</v>
      </c>
      <c r="N69" s="20">
        <f>T28*N63/($H$14+N63)</f>
        <v>0</v>
      </c>
      <c r="O69" s="1" t="s">
        <v>51</v>
      </c>
    </row>
    <row r="70" spans="13:15" ht="18" customHeight="1" x14ac:dyDescent="0.3">
      <c r="M70" s="2" t="s">
        <v>140</v>
      </c>
      <c r="N70" s="20">
        <f>T28-N69</f>
        <v>0</v>
      </c>
      <c r="O70" s="1" t="s">
        <v>51</v>
      </c>
    </row>
    <row r="71" spans="13:15" ht="18" customHeight="1" x14ac:dyDescent="0.3">
      <c r="M71" s="2" t="s">
        <v>141</v>
      </c>
      <c r="N71" s="20">
        <f>$H$15*T29/($H$15+N63+N63^2/$H$16+N63^3/($H$16*$H$17))</f>
        <v>0</v>
      </c>
      <c r="O71" s="6" t="s">
        <v>51</v>
      </c>
    </row>
    <row r="72" spans="13:15" ht="18" customHeight="1" x14ac:dyDescent="0.3">
      <c r="M72" s="2" t="s">
        <v>142</v>
      </c>
      <c r="N72" s="20">
        <f>$H$16*T29/($H$15*$H$16/N63+$H$16+N63+(N63^2)/$H$17)</f>
        <v>0</v>
      </c>
      <c r="O72" s="6" t="s">
        <v>51</v>
      </c>
    </row>
    <row r="73" spans="13:15" ht="18" customHeight="1" x14ac:dyDescent="0.3">
      <c r="M73" s="2" t="s">
        <v>143</v>
      </c>
      <c r="N73" s="20">
        <f>T29*$H$17/(N63+$H$17+$H$17*$H$16/N63+$H$17*$H$16*$H$15/(N63^2))</f>
        <v>0</v>
      </c>
      <c r="O73" s="6" t="s">
        <v>51</v>
      </c>
    </row>
    <row r="74" spans="13:15" ht="18" customHeight="1" x14ac:dyDescent="0.3">
      <c r="M74" s="2" t="s">
        <v>144</v>
      </c>
      <c r="N74" s="20">
        <f>T29-N71-N72-N73</f>
        <v>0</v>
      </c>
      <c r="O74" s="6" t="s">
        <v>51</v>
      </c>
    </row>
    <row r="75" spans="13:15" ht="18" customHeight="1" x14ac:dyDescent="0.3">
      <c r="M75" s="2" t="s">
        <v>146</v>
      </c>
      <c r="N75" s="24">
        <f>T27*$H$13/($H$13+N63)</f>
        <v>7.7641597901289819E-3</v>
      </c>
      <c r="O75" s="1" t="s">
        <v>51</v>
      </c>
    </row>
    <row r="76" spans="13:15" ht="18" customHeight="1" x14ac:dyDescent="0.3">
      <c r="M76" s="2" t="s">
        <v>147</v>
      </c>
      <c r="N76" s="24">
        <f>T27-N75</f>
        <v>4.8178451978657822E-4</v>
      </c>
      <c r="O76" s="1" t="s">
        <v>51</v>
      </c>
    </row>
    <row r="77" spans="13:15" ht="18" customHeight="1" x14ac:dyDescent="0.3">
      <c r="M77" s="2" t="s">
        <v>148</v>
      </c>
      <c r="N77" s="23">
        <f>N63-N64-N65-N66-N67-N68+N69-3*N71-2*N72-N73+N78-N75</f>
        <v>0</v>
      </c>
      <c r="O77" s="1" t="s">
        <v>149</v>
      </c>
    </row>
    <row r="78" spans="13:15" ht="18" customHeight="1" x14ac:dyDescent="0.3">
      <c r="M78" s="2" t="s">
        <v>150</v>
      </c>
      <c r="N78" s="4">
        <v>5.3596203569692899E-2</v>
      </c>
      <c r="O78" s="1" t="s">
        <v>51</v>
      </c>
    </row>
    <row r="79" spans="13:15" ht="18" customHeight="1" x14ac:dyDescent="0.3">
      <c r="M79" s="2" t="s">
        <v>130</v>
      </c>
      <c r="N79" s="28">
        <v>0.04</v>
      </c>
      <c r="O79" s="1" t="s">
        <v>51</v>
      </c>
    </row>
    <row r="80" spans="13:15" ht="18" customHeight="1" x14ac:dyDescent="0.3">
      <c r="M80" s="2" t="s">
        <v>127</v>
      </c>
      <c r="N80" s="29">
        <f>N78+N79</f>
        <v>9.3596203569692893E-2</v>
      </c>
      <c r="O80" s="1" t="s">
        <v>51</v>
      </c>
    </row>
  </sheetData>
  <mergeCells count="9">
    <mergeCell ref="S1:U1"/>
    <mergeCell ref="G8:I8"/>
    <mergeCell ref="K22:M22"/>
    <mergeCell ref="O22:Q22"/>
    <mergeCell ref="M62:O62"/>
    <mergeCell ref="A1:C1"/>
    <mergeCell ref="G1:I1"/>
    <mergeCell ref="K1:M1"/>
    <mergeCell ref="O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44AC-F45C-414B-89F1-561F7CF0DD7F}">
  <dimension ref="A1:U80"/>
  <sheetViews>
    <sheetView topLeftCell="B53" zoomScale="85" zoomScaleNormal="85" workbookViewId="0">
      <selection activeCell="N79" sqref="N79"/>
    </sheetView>
  </sheetViews>
  <sheetFormatPr defaultColWidth="8.88671875" defaultRowHeight="18" customHeight="1" x14ac:dyDescent="0.3"/>
  <cols>
    <col min="1" max="21" width="10.6640625" style="6" customWidth="1"/>
    <col min="22" max="16384" width="8.88671875" style="6"/>
  </cols>
  <sheetData>
    <row r="1" spans="1:21" ht="18" customHeight="1" x14ac:dyDescent="0.3">
      <c r="A1" s="37" t="s">
        <v>0</v>
      </c>
      <c r="B1" s="37"/>
      <c r="C1" s="37"/>
      <c r="G1" s="38" t="s">
        <v>1</v>
      </c>
      <c r="H1" s="38"/>
      <c r="I1" s="38"/>
      <c r="K1" s="38" t="s">
        <v>2</v>
      </c>
      <c r="L1" s="38"/>
      <c r="M1" s="38"/>
      <c r="N1" s="7"/>
      <c r="O1" s="38" t="s">
        <v>3</v>
      </c>
      <c r="P1" s="38"/>
      <c r="Q1" s="38"/>
      <c r="S1" s="35" t="s">
        <v>4</v>
      </c>
      <c r="T1" s="35"/>
      <c r="U1" s="35"/>
    </row>
    <row r="2" spans="1:21" ht="18" customHeight="1" x14ac:dyDescent="0.3">
      <c r="A2" s="2" t="s">
        <v>5</v>
      </c>
      <c r="B2" s="9">
        <f>32*6/180</f>
        <v>1.0666666666666667</v>
      </c>
      <c r="C2" s="3" t="s">
        <v>6</v>
      </c>
      <c r="D2" s="7" t="s">
        <v>7</v>
      </c>
      <c r="G2" s="2" t="s">
        <v>8</v>
      </c>
      <c r="H2" s="11">
        <v>396</v>
      </c>
      <c r="I2" s="7" t="s">
        <v>9</v>
      </c>
      <c r="K2" s="2" t="s">
        <v>10</v>
      </c>
      <c r="L2" s="11">
        <v>0</v>
      </c>
      <c r="M2" s="7" t="s">
        <v>11</v>
      </c>
      <c r="N2" s="7"/>
      <c r="O2" s="2" t="s">
        <v>10</v>
      </c>
      <c r="P2" s="11">
        <v>0</v>
      </c>
      <c r="Q2" s="7" t="s">
        <v>11</v>
      </c>
      <c r="S2" s="8" t="s">
        <v>12</v>
      </c>
      <c r="T2" s="7">
        <v>0</v>
      </c>
      <c r="U2" s="18" t="str">
        <f>CONCATENATE("batch_ac_h.Xsu_restart = (open.X_su*batch_ac_h.V_inoculum+",T2,"*batch_ac_h.V_add)/batch_ac_h.V_liq;")</f>
        <v>batch_ac_h.Xsu_restart = (open.X_su*batch_ac_h.V_inoculum+0*batch_ac_h.V_add)/batch_ac_h.V_liq;</v>
      </c>
    </row>
    <row r="3" spans="1:21" ht="18" customHeight="1" x14ac:dyDescent="0.3">
      <c r="A3" s="2" t="s">
        <v>13</v>
      </c>
      <c r="B3" s="9">
        <v>1.58</v>
      </c>
      <c r="C3" s="3" t="s">
        <v>14</v>
      </c>
      <c r="D3" s="7" t="s">
        <v>7</v>
      </c>
      <c r="G3" s="2" t="s">
        <v>15</v>
      </c>
      <c r="H3" s="10">
        <v>0</v>
      </c>
      <c r="I3" s="7" t="s">
        <v>9</v>
      </c>
      <c r="K3" s="2" t="s">
        <v>16</v>
      </c>
      <c r="L3" s="11">
        <v>0</v>
      </c>
      <c r="M3" s="7" t="s">
        <v>17</v>
      </c>
      <c r="N3" s="7"/>
      <c r="O3" s="2" t="s">
        <v>16</v>
      </c>
      <c r="P3" s="11">
        <v>0</v>
      </c>
      <c r="Q3" s="7" t="s">
        <v>17</v>
      </c>
      <c r="S3" s="8" t="s">
        <v>18</v>
      </c>
      <c r="T3" s="7">
        <v>0</v>
      </c>
      <c r="U3" s="18" t="str">
        <f>CONCATENATE("batch_ac_h.Xaa_restart = (open.X_aa*batch_ac_h.V_inoculum+",T3,"*batch_ac_h.V_add)/batch_ac_h.V_liq;")</f>
        <v>batch_ac_h.Xaa_restart = (open.X_aa*batch_ac_h.V_inoculum+0*batch_ac_h.V_add)/batch_ac_h.V_liq;</v>
      </c>
    </row>
    <row r="4" spans="1:21" ht="18" customHeight="1" x14ac:dyDescent="0.3">
      <c r="A4" s="2" t="s">
        <v>19</v>
      </c>
      <c r="B4" s="9">
        <v>1.53</v>
      </c>
      <c r="C4" s="3" t="s">
        <v>20</v>
      </c>
      <c r="D4" s="7" t="s">
        <v>7</v>
      </c>
      <c r="G4" s="5" t="s">
        <v>21</v>
      </c>
      <c r="H4" s="11">
        <v>16</v>
      </c>
      <c r="I4" s="7" t="s">
        <v>9</v>
      </c>
      <c r="K4" s="8" t="s">
        <v>22</v>
      </c>
      <c r="L4" s="14">
        <v>0</v>
      </c>
      <c r="M4" s="7" t="s">
        <v>23</v>
      </c>
      <c r="N4" s="7"/>
      <c r="O4" s="8" t="s">
        <v>22</v>
      </c>
      <c r="P4" s="14">
        <v>0</v>
      </c>
      <c r="Q4" s="7" t="s">
        <v>23</v>
      </c>
      <c r="S4" s="8" t="s">
        <v>24</v>
      </c>
      <c r="T4" s="7">
        <v>0</v>
      </c>
      <c r="U4" s="18" t="str">
        <f>CONCATENATE("batch_ac_h.Xfa_restart = (open.X_fa*batch_ac_h.V_inoculum+",T4,"*batch_ac_h.V_add)/batch_ac_h.V_liq;")</f>
        <v>batch_ac_h.Xfa_restart = (open.X_fa*batch_ac_h.V_inoculum+0*batch_ac_h.V_add)/batch_ac_h.V_liq;</v>
      </c>
    </row>
    <row r="5" spans="1:21" ht="18" customHeight="1" x14ac:dyDescent="0.3">
      <c r="A5" s="5" t="s">
        <v>25</v>
      </c>
      <c r="B5" s="9">
        <f>1/0.16</f>
        <v>6.25</v>
      </c>
      <c r="C5" s="3" t="s">
        <v>26</v>
      </c>
      <c r="D5" s="7" t="s">
        <v>7</v>
      </c>
      <c r="G5" s="5" t="s">
        <v>27</v>
      </c>
      <c r="H5" s="11">
        <f>SUM(H2:H4)</f>
        <v>412</v>
      </c>
      <c r="I5" s="7" t="s">
        <v>9</v>
      </c>
      <c r="K5" s="8" t="s">
        <v>28</v>
      </c>
      <c r="L5" s="15">
        <v>0</v>
      </c>
      <c r="M5" s="7" t="s">
        <v>29</v>
      </c>
      <c r="N5" s="7"/>
      <c r="O5" s="8" t="s">
        <v>28</v>
      </c>
      <c r="P5" s="15">
        <v>0</v>
      </c>
      <c r="Q5" s="7" t="s">
        <v>29</v>
      </c>
      <c r="S5" s="8" t="s">
        <v>30</v>
      </c>
      <c r="T5" s="7">
        <v>0</v>
      </c>
      <c r="U5" s="18" t="str">
        <f>CONCATENATE("batch_ac_h.Xc4_restart = (open.X_c4*batch_ac_h.V_inoculum+",T5,"*batch_ac_h.V_add)/batch_ac_h.V_liq;")</f>
        <v>batch_ac_h.Xc4_restart = (open.X_c4*batch_ac_h.V_inoculum+0*batch_ac_h.V_add)/batch_ac_h.V_liq;</v>
      </c>
    </row>
    <row r="6" spans="1:21" ht="18" customHeight="1" x14ac:dyDescent="0.3">
      <c r="A6" s="2" t="s">
        <v>31</v>
      </c>
      <c r="B6" s="9">
        <v>2.83</v>
      </c>
      <c r="C6" s="3" t="s">
        <v>32</v>
      </c>
      <c r="D6" s="7" t="s">
        <v>7</v>
      </c>
      <c r="H6" s="32">
        <f>H5+388</f>
        <v>800</v>
      </c>
      <c r="K6" s="8" t="s">
        <v>33</v>
      </c>
      <c r="L6" s="16">
        <v>0</v>
      </c>
      <c r="M6" s="7" t="s">
        <v>34</v>
      </c>
      <c r="N6" s="7"/>
      <c r="O6" s="8" t="s">
        <v>33</v>
      </c>
      <c r="P6" s="16">
        <v>0</v>
      </c>
      <c r="Q6" s="7" t="s">
        <v>34</v>
      </c>
      <c r="S6" s="8" t="s">
        <v>35</v>
      </c>
      <c r="T6" s="7">
        <v>0</v>
      </c>
      <c r="U6" s="18" t="str">
        <f>CONCATENATE("batch_ac_h.Xpro_restart = (open.X_pro*batch_ac_h.V_inoculum+",T6,"*batch_ac_h.V_add)/batch_ac_h.V_liq;")</f>
        <v>batch_ac_h.Xpro_restart = (open.X_pro*batch_ac_h.V_inoculum+0*batch_ac_h.V_add)/batch_ac_h.V_liq;</v>
      </c>
    </row>
    <row r="7" spans="1:21" ht="18" customHeight="1" x14ac:dyDescent="0.3">
      <c r="A7" s="8" t="s">
        <v>36</v>
      </c>
      <c r="B7" s="9">
        <f>273.15+25</f>
        <v>298.14999999999998</v>
      </c>
      <c r="C7" s="7" t="s">
        <v>37</v>
      </c>
      <c r="D7" s="7" t="s">
        <v>38</v>
      </c>
      <c r="K7" s="8" t="s">
        <v>39</v>
      </c>
      <c r="L7" s="15">
        <v>0</v>
      </c>
      <c r="M7" s="7" t="s">
        <v>40</v>
      </c>
      <c r="N7" s="7"/>
      <c r="O7" s="8" t="s">
        <v>39</v>
      </c>
      <c r="P7" s="15">
        <v>0</v>
      </c>
      <c r="Q7" s="7" t="s">
        <v>40</v>
      </c>
      <c r="S7" s="8" t="s">
        <v>41</v>
      </c>
      <c r="T7" s="7">
        <v>0</v>
      </c>
      <c r="U7" s="18" t="str">
        <f>CONCATENATE("batch_ac_h.Xac_restart = (open.X_ac*batch_ac_h.V_inoculum+",T7,"*batch_ac_h.V_add)/batch_ac_h.V_liq;")</f>
        <v>batch_ac_h.Xac_restart = (open.X_ac*batch_ac_h.V_inoculum+0*batch_ac_h.V_add)/batch_ac_h.V_liq;</v>
      </c>
    </row>
    <row r="8" spans="1:21" ht="18" customHeight="1" x14ac:dyDescent="0.3">
      <c r="A8" s="8" t="s">
        <v>42</v>
      </c>
      <c r="B8" s="9">
        <v>0.08</v>
      </c>
      <c r="C8" s="7" t="s">
        <v>43</v>
      </c>
      <c r="D8" s="7"/>
      <c r="G8" s="36" t="s">
        <v>44</v>
      </c>
      <c r="H8" s="36"/>
      <c r="I8" s="36"/>
      <c r="J8" s="6">
        <f>L8*H4/1000/SUM(H2+H4+H5)*1000</f>
        <v>1.5533980582524274</v>
      </c>
      <c r="K8" s="8" t="s">
        <v>45</v>
      </c>
      <c r="L8" s="16">
        <v>80</v>
      </c>
      <c r="M8" s="7" t="s">
        <v>46</v>
      </c>
      <c r="N8" s="7"/>
      <c r="O8" s="8" t="s">
        <v>45</v>
      </c>
      <c r="P8" s="16">
        <v>0</v>
      </c>
      <c r="Q8" s="7" t="s">
        <v>46</v>
      </c>
      <c r="S8" s="8" t="s">
        <v>47</v>
      </c>
      <c r="T8" s="7">
        <v>0</v>
      </c>
      <c r="U8" s="18" t="str">
        <f>CONCATENATE("batch_ac_h.Xh2_restart = (open.X_h2*batch_ac_h.V_inoculum+",T8,"*batch_ac_h.V_add)/batch_ac_h.V_liq;")</f>
        <v>batch_ac_h.Xh2_restart = (open.X_h2*batch_ac_h.V_inoculum+0*batch_ac_h.V_add)/batch_ac_h.V_liq;</v>
      </c>
    </row>
    <row r="9" spans="1:21" ht="18" customHeight="1" x14ac:dyDescent="0.3">
      <c r="A9" s="8" t="s">
        <v>48</v>
      </c>
      <c r="B9" s="17">
        <v>60</v>
      </c>
      <c r="C9" s="7" t="s">
        <v>49</v>
      </c>
      <c r="G9" s="8" t="s">
        <v>50</v>
      </c>
      <c r="H9" s="19">
        <f t="shared" ref="H9:H18" si="0">10^-B17</f>
        <v>1.7378008287493744E-5</v>
      </c>
      <c r="I9" s="7" t="s">
        <v>51</v>
      </c>
      <c r="K9" s="8" t="s">
        <v>52</v>
      </c>
      <c r="L9" s="16">
        <v>0</v>
      </c>
      <c r="M9" s="7" t="s">
        <v>46</v>
      </c>
      <c r="N9" s="7"/>
      <c r="O9" s="8" t="s">
        <v>52</v>
      </c>
      <c r="P9" s="16">
        <v>0</v>
      </c>
      <c r="Q9" s="7" t="s">
        <v>46</v>
      </c>
      <c r="S9" s="8" t="s">
        <v>53</v>
      </c>
      <c r="T9" s="7">
        <v>0</v>
      </c>
      <c r="U9" s="18" t="str">
        <f>CONCATENATE("batch_ac_h.Xc_restart = (open.X_c*batch_ac_h.V_inoculum+",T9,"*batch_ac_h.V_add)/batch_ac_h.V_liq;")</f>
        <v>batch_ac_h.Xc_restart = (open.X_c*batch_ac_h.V_inoculum+0*batch_ac_h.V_add)/batch_ac_h.V_liq;</v>
      </c>
    </row>
    <row r="10" spans="1:21" ht="18" customHeight="1" x14ac:dyDescent="0.3">
      <c r="A10" s="8" t="s">
        <v>54</v>
      </c>
      <c r="B10" s="17">
        <v>74</v>
      </c>
      <c r="C10" s="7" t="s">
        <v>49</v>
      </c>
      <c r="G10" s="8" t="s">
        <v>55</v>
      </c>
      <c r="H10" s="19">
        <f t="shared" si="0"/>
        <v>1.3182567385564052E-5</v>
      </c>
      <c r="I10" s="7" t="s">
        <v>51</v>
      </c>
      <c r="K10" s="8" t="s">
        <v>56</v>
      </c>
      <c r="L10" s="16">
        <v>0</v>
      </c>
      <c r="M10" s="7" t="s">
        <v>46</v>
      </c>
      <c r="N10" s="7"/>
      <c r="O10" s="8" t="s">
        <v>56</v>
      </c>
      <c r="P10" s="16">
        <v>0</v>
      </c>
      <c r="Q10" s="7" t="s">
        <v>46</v>
      </c>
      <c r="S10" s="8" t="s">
        <v>57</v>
      </c>
      <c r="T10" s="25">
        <f>(L28*$H$4/1000+P28*($H$2+$H$3)/1000)/($H$2+$H$3+$H$4)*1000</f>
        <v>0</v>
      </c>
      <c r="U10" s="18" t="str">
        <f>CONCATENATE("batch_ac_h.Xi_restart = (open.X_i*batch_ac_h.V_inoculum+",L27,"*batch_ac_h.V_add)/batch_ac_h.V_liq;")</f>
        <v>batch_ac_h.Xi_restart = (open.X_i*batch_ac_h.V_inoculum+0*batch_ac_h.V_add)/batch_ac_h.V_liq;</v>
      </c>
    </row>
    <row r="11" spans="1:21" ht="18" customHeight="1" x14ac:dyDescent="0.3">
      <c r="A11" s="8" t="s">
        <v>58</v>
      </c>
      <c r="B11" s="17">
        <v>88</v>
      </c>
      <c r="C11" s="7" t="s">
        <v>49</v>
      </c>
      <c r="G11" s="8" t="s">
        <v>59</v>
      </c>
      <c r="H11" s="19">
        <f t="shared" si="0"/>
        <v>1.5135612484362051E-5</v>
      </c>
      <c r="I11" s="7" t="s">
        <v>51</v>
      </c>
      <c r="K11" s="8" t="s">
        <v>60</v>
      </c>
      <c r="L11" s="16">
        <v>0</v>
      </c>
      <c r="M11" s="7" t="s">
        <v>46</v>
      </c>
      <c r="N11" s="7"/>
      <c r="O11" s="8" t="s">
        <v>60</v>
      </c>
      <c r="P11" s="16">
        <v>0</v>
      </c>
      <c r="Q11" s="7" t="s">
        <v>46</v>
      </c>
      <c r="S11" s="8" t="s">
        <v>61</v>
      </c>
      <c r="T11" s="25">
        <f>(L29*$H$4/1000+P29*($H$2+$H$3)/1000)/($H$2+$H$3+$H$4)*1000</f>
        <v>0</v>
      </c>
      <c r="U11" s="18" t="str">
        <f>CONCATENATE("batch_ac_h.Xch1_restart = (open.X_ch[1]*batch_ac_h.V_inoculum+",T11,"*batch_ac_h.V_add)/batch_ac_h.V_liq;")</f>
        <v>batch_ac_h.Xch1_restart = (open.X_ch[1]*batch_ac_h.V_inoculum+0*batch_ac_h.V_add)/batch_ac_h.V_liq;</v>
      </c>
    </row>
    <row r="12" spans="1:21" ht="18" customHeight="1" x14ac:dyDescent="0.3">
      <c r="A12" s="8" t="s">
        <v>62</v>
      </c>
      <c r="B12" s="17">
        <v>102</v>
      </c>
      <c r="C12" s="7" t="s">
        <v>49</v>
      </c>
      <c r="G12" s="8" t="s">
        <v>63</v>
      </c>
      <c r="H12" s="19">
        <f t="shared" si="0"/>
        <v>1.3803842646028827E-5</v>
      </c>
      <c r="I12" s="7" t="s">
        <v>51</v>
      </c>
      <c r="K12" s="8" t="s">
        <v>64</v>
      </c>
      <c r="L12" s="15">
        <v>0</v>
      </c>
      <c r="M12" s="7" t="s">
        <v>65</v>
      </c>
      <c r="N12" s="7"/>
      <c r="O12" s="8" t="s">
        <v>64</v>
      </c>
      <c r="P12" s="15">
        <v>0</v>
      </c>
      <c r="Q12" s="7" t="s">
        <v>65</v>
      </c>
      <c r="S12" s="8" t="s">
        <v>66</v>
      </c>
      <c r="T12" s="25">
        <f t="shared" ref="T12:T15" si="1">(L30*$H$4/1000+P30*($H$2+$H$3)/1000)/($H$2+$H$3+$H$4)*1000</f>
        <v>0</v>
      </c>
      <c r="U12" s="18" t="str">
        <f>CONCATENATE("batch_ac_h.Xch2_restart = (open.X_ch[2]*batch_ac_h.V_inoculum+",T12,"*batch_ac_h.V_add)/batch_ac_h.V_liq;")</f>
        <v>batch_ac_h.Xch2_restart = (open.X_ch[2]*batch_ac_h.V_inoculum+0*batch_ac_h.V_add)/batch_ac_h.V_liq;</v>
      </c>
    </row>
    <row r="13" spans="1:21" ht="18" customHeight="1" x14ac:dyDescent="0.3">
      <c r="A13" s="8" t="s">
        <v>67</v>
      </c>
      <c r="B13" s="17">
        <v>100</v>
      </c>
      <c r="C13" s="7" t="s">
        <v>49</v>
      </c>
      <c r="G13" s="8" t="s">
        <v>68</v>
      </c>
      <c r="H13" s="19">
        <f t="shared" si="0"/>
        <v>4.4668359215096327E-7</v>
      </c>
      <c r="I13" s="7" t="s">
        <v>51</v>
      </c>
      <c r="K13" s="8" t="s">
        <v>69</v>
      </c>
      <c r="L13" s="15">
        <v>0</v>
      </c>
      <c r="M13" s="7" t="s">
        <v>70</v>
      </c>
      <c r="N13" s="7"/>
      <c r="O13" s="8" t="s">
        <v>69</v>
      </c>
      <c r="P13" s="15">
        <v>0</v>
      </c>
      <c r="Q13" s="7" t="s">
        <v>70</v>
      </c>
      <c r="S13" s="8" t="s">
        <v>71</v>
      </c>
      <c r="T13" s="25">
        <f t="shared" si="1"/>
        <v>0</v>
      </c>
      <c r="U13" s="18" t="str">
        <f>CONCATENATE("batch_ac_h.Xpr1_restart = (open.X_pr[1]*batch_ac_h.V_inoculum+",T13,"*batch_ac_h.V_add)/batch_ac_h.V_liq;")</f>
        <v>batch_ac_h.Xpr1_restart = (open.X_pr[1]*batch_ac_h.V_inoculum+0*batch_ac_h.V_add)/batch_ac_h.V_liq;</v>
      </c>
    </row>
    <row r="14" spans="1:21" ht="18" customHeight="1" x14ac:dyDescent="0.3">
      <c r="A14" s="8" t="s">
        <v>72</v>
      </c>
      <c r="B14" s="17">
        <v>60</v>
      </c>
      <c r="C14" s="7" t="s">
        <v>49</v>
      </c>
      <c r="G14" s="8" t="s">
        <v>73</v>
      </c>
      <c r="H14" s="19">
        <f t="shared" si="0"/>
        <v>5.6234132519034889E-10</v>
      </c>
      <c r="I14" s="7" t="s">
        <v>51</v>
      </c>
      <c r="K14" s="8" t="s">
        <v>74</v>
      </c>
      <c r="L14" s="15">
        <v>7</v>
      </c>
      <c r="M14" s="7" t="s">
        <v>43</v>
      </c>
      <c r="N14" s="7"/>
      <c r="O14" s="8" t="s">
        <v>74</v>
      </c>
      <c r="P14" s="15">
        <v>7.6</v>
      </c>
      <c r="Q14" s="7" t="s">
        <v>43</v>
      </c>
      <c r="S14" s="8" t="s">
        <v>75</v>
      </c>
      <c r="T14" s="25">
        <f t="shared" si="1"/>
        <v>0</v>
      </c>
      <c r="U14" s="18" t="str">
        <f>CONCATENATE("batch_ac_h.Xpr2_restart = (open.X_pr[2]*batch_ac_h.V_inoculum+",T14,"*batch_ac_h.V_add)/batch_ac_h.V_liq;")</f>
        <v>batch_ac_h.Xpr2_restart = (open.X_pr[2]*batch_ac_h.V_inoculum+0*batch_ac_h.V_add)/batch_ac_h.V_liq;</v>
      </c>
    </row>
    <row r="15" spans="1:21" ht="18" customHeight="1" x14ac:dyDescent="0.3">
      <c r="A15" s="8" t="s">
        <v>76</v>
      </c>
      <c r="B15" s="17">
        <v>14</v>
      </c>
      <c r="C15" s="7" t="s">
        <v>49</v>
      </c>
      <c r="G15" s="8" t="s">
        <v>77</v>
      </c>
      <c r="H15" s="19">
        <f t="shared" si="0"/>
        <v>2.1379620895022253E-13</v>
      </c>
      <c r="I15" s="7" t="s">
        <v>51</v>
      </c>
      <c r="K15" s="8" t="s">
        <v>78</v>
      </c>
      <c r="L15" s="15">
        <v>0</v>
      </c>
      <c r="M15" s="7" t="s">
        <v>79</v>
      </c>
      <c r="N15" s="7"/>
      <c r="O15" s="8" t="s">
        <v>78</v>
      </c>
      <c r="P15" s="15">
        <v>404.4</v>
      </c>
      <c r="Q15" s="7" t="s">
        <v>79</v>
      </c>
      <c r="S15" s="8" t="s">
        <v>80</v>
      </c>
      <c r="T15" s="25">
        <f t="shared" si="1"/>
        <v>0</v>
      </c>
      <c r="U15" s="18" t="str">
        <f>CONCATENATE("batch_ac_h.Xli_restart = (open.X_li*batch_ac_h.V_inoculum+",T15,"*batch_ac_h.V_add)/batch_ac_h.V_liq;")</f>
        <v>batch_ac_h.Xli_restart = (open.X_li*batch_ac_h.V_inoculum+0*batch_ac_h.V_add)/batch_ac_h.V_liq;</v>
      </c>
    </row>
    <row r="16" spans="1:21" ht="18" customHeight="1" x14ac:dyDescent="0.3">
      <c r="A16" s="8" t="s">
        <v>81</v>
      </c>
      <c r="B16" s="17">
        <v>31</v>
      </c>
      <c r="C16" s="7" t="s">
        <v>49</v>
      </c>
      <c r="G16" s="8" t="s">
        <v>82</v>
      </c>
      <c r="H16" s="19">
        <f t="shared" si="0"/>
        <v>6.1659500186148087E-8</v>
      </c>
      <c r="I16" s="7" t="s">
        <v>51</v>
      </c>
      <c r="K16" s="8" t="s">
        <v>83</v>
      </c>
      <c r="L16" s="15">
        <v>0</v>
      </c>
      <c r="M16" s="7" t="s">
        <v>43</v>
      </c>
      <c r="N16" s="7"/>
      <c r="O16" s="8" t="s">
        <v>83</v>
      </c>
      <c r="P16" s="15">
        <v>0</v>
      </c>
      <c r="Q16" s="7" t="s">
        <v>43</v>
      </c>
      <c r="S16" s="8" t="s">
        <v>84</v>
      </c>
      <c r="T16" s="7">
        <v>0</v>
      </c>
      <c r="U16" s="18" t="str">
        <f>CONCATENATE("batch_ac_h.Xp_restart = (open.X_p*batch_ac_h.V_inoculum+",T16,"*batch_ac_h.V_add)/batch_ac_h.V_liq;")</f>
        <v>batch_ac_h.Xp_restart = (open.X_p*batch_ac_h.V_inoculum+0*batch_ac_h.V_add)/batch_ac_h.V_liq;</v>
      </c>
    </row>
    <row r="17" spans="1:21" ht="18" customHeight="1" x14ac:dyDescent="0.3">
      <c r="A17" s="8" t="s">
        <v>85</v>
      </c>
      <c r="B17" s="17">
        <v>4.76</v>
      </c>
      <c r="C17" s="7" t="s">
        <v>43</v>
      </c>
      <c r="G17" s="8" t="s">
        <v>86</v>
      </c>
      <c r="H17" s="19">
        <f t="shared" si="0"/>
        <v>7.5857757502918299E-3</v>
      </c>
      <c r="I17" s="7" t="s">
        <v>51</v>
      </c>
      <c r="K17" s="8" t="s">
        <v>87</v>
      </c>
      <c r="L17" s="15">
        <v>0</v>
      </c>
      <c r="M17" s="7" t="s">
        <v>43</v>
      </c>
      <c r="N17" s="7"/>
      <c r="O17" s="8" t="s">
        <v>87</v>
      </c>
      <c r="P17" s="15">
        <v>0</v>
      </c>
      <c r="Q17" s="7" t="s">
        <v>43</v>
      </c>
      <c r="S17" s="8" t="s">
        <v>88</v>
      </c>
      <c r="T17" s="7">
        <v>0</v>
      </c>
      <c r="U17" s="18" t="str">
        <f>CONCATENATE("batch_ac_h.Si_restart = (open.S_i*batch_ac_h.V_inoculum+",T17,"*batch_ac_h.V_add)/batch_ac_h.V_liq;")</f>
        <v>batch_ac_h.Si_restart = (open.S_i*batch_ac_h.V_inoculum+0*batch_ac_h.V_add)/batch_ac_h.V_liq;</v>
      </c>
    </row>
    <row r="18" spans="1:21" ht="18" customHeight="1" x14ac:dyDescent="0.3">
      <c r="A18" s="8" t="s">
        <v>89</v>
      </c>
      <c r="B18" s="17">
        <v>4.88</v>
      </c>
      <c r="C18" s="7" t="s">
        <v>43</v>
      </c>
      <c r="G18" s="8" t="s">
        <v>90</v>
      </c>
      <c r="H18" s="19">
        <f t="shared" si="0"/>
        <v>1E-14</v>
      </c>
      <c r="I18" s="7" t="s">
        <v>91</v>
      </c>
      <c r="K18" s="8" t="s">
        <v>92</v>
      </c>
      <c r="L18" s="15">
        <v>0</v>
      </c>
      <c r="M18" s="7" t="s">
        <v>43</v>
      </c>
      <c r="N18" s="7"/>
      <c r="O18" s="8" t="s">
        <v>92</v>
      </c>
      <c r="P18" s="15">
        <v>0</v>
      </c>
      <c r="Q18" s="7" t="s">
        <v>43</v>
      </c>
      <c r="S18" s="8" t="s">
        <v>93</v>
      </c>
      <c r="T18" s="7">
        <v>0</v>
      </c>
      <c r="U18" s="18" t="str">
        <f>CONCATENATE("batch_ac_h.Ssu_restart = (open.S_su*batch_ac_h.V_inoculum+",T18,"*batch_ac_h.V_add)/batch_ac_h.V_liq;")</f>
        <v>batch_ac_h.Ssu_restart = (open.S_su*batch_ac_h.V_inoculum+0*batch_ac_h.V_add)/batch_ac_h.V_liq;</v>
      </c>
    </row>
    <row r="19" spans="1:21" ht="18" customHeight="1" x14ac:dyDescent="0.3">
      <c r="A19" s="8" t="s">
        <v>94</v>
      </c>
      <c r="B19" s="17">
        <v>4.82</v>
      </c>
      <c r="C19" s="7" t="s">
        <v>43</v>
      </c>
      <c r="K19" s="8" t="s">
        <v>95</v>
      </c>
      <c r="L19" s="15">
        <v>0</v>
      </c>
      <c r="M19" s="7" t="s">
        <v>43</v>
      </c>
      <c r="N19" s="7"/>
      <c r="O19" s="8" t="s">
        <v>95</v>
      </c>
      <c r="P19" s="15">
        <v>0</v>
      </c>
      <c r="Q19" s="7" t="s">
        <v>43</v>
      </c>
      <c r="S19" s="8" t="s">
        <v>152</v>
      </c>
      <c r="T19" s="7">
        <v>0</v>
      </c>
      <c r="U19" s="18" t="str">
        <f>CONCATENATE("batch_ac_h.Saa_restart = (open.S_aa*batch_ac_h.V_inoculum+",T19,"*batch_ac_h.V_add)/batch_ac_h.V_liq;")</f>
        <v>batch_ac_h.Saa_restart = (open.S_aa*batch_ac_h.V_inoculum+0*batch_ac_h.V_add)/batch_ac_h.V_liq;</v>
      </c>
    </row>
    <row r="20" spans="1:21" ht="18" customHeight="1" x14ac:dyDescent="0.3">
      <c r="A20" s="8" t="s">
        <v>96</v>
      </c>
      <c r="B20" s="17">
        <v>4.8600000000000003</v>
      </c>
      <c r="C20" s="7" t="s">
        <v>43</v>
      </c>
      <c r="K20" s="8" t="s">
        <v>97</v>
      </c>
      <c r="L20" s="15">
        <v>0</v>
      </c>
      <c r="M20" s="7" t="s">
        <v>43</v>
      </c>
      <c r="N20" s="7"/>
      <c r="O20" s="8" t="s">
        <v>97</v>
      </c>
      <c r="P20" s="15">
        <v>0</v>
      </c>
      <c r="Q20" s="7" t="s">
        <v>43</v>
      </c>
      <c r="S20" s="8" t="s">
        <v>98</v>
      </c>
      <c r="T20" s="7">
        <v>0</v>
      </c>
      <c r="U20" s="18" t="str">
        <f>CONCATENATE("batch_ac_h.Sfa_restart = (open.S_fa*batch_ac_h.V_inoculum+",T20,"*batch_ac_h.V_add)/batch_ac_h.V_liq;")</f>
        <v>batch_ac_h.Sfa_restart = (open.S_fa*batch_ac_h.V_inoculum+0*batch_ac_h.V_add)/batch_ac_h.V_liq;</v>
      </c>
    </row>
    <row r="21" spans="1:21" ht="18" customHeight="1" x14ac:dyDescent="0.3">
      <c r="A21" s="8" t="s">
        <v>99</v>
      </c>
      <c r="B21" s="17">
        <v>6.35</v>
      </c>
      <c r="C21" s="7" t="s">
        <v>43</v>
      </c>
      <c r="K21" s="7"/>
      <c r="L21" s="7"/>
      <c r="M21" s="7"/>
      <c r="N21" s="7"/>
      <c r="O21" s="7"/>
      <c r="P21" s="7"/>
      <c r="S21" s="8" t="s">
        <v>100</v>
      </c>
      <c r="T21" s="25">
        <f>(L11*$H$4/1000+P11*($H$2+$H$3)/1000)/($H$2+$H$3+$H$4)*1000</f>
        <v>0</v>
      </c>
      <c r="U21" s="18" t="str">
        <f>CONCATENATE("batch_ac_h.Sva_restart = (open.S_va*batch_ac_h.V_inoculum+",T21,"*batch_ac_h.V_add)/batch_ac_h.V_liq;")</f>
        <v>batch_ac_h.Sva_restart = (open.S_va*batch_ac_h.V_inoculum+0*batch_ac_h.V_add)/batch_ac_h.V_liq;</v>
      </c>
    </row>
    <row r="22" spans="1:21" ht="18" customHeight="1" x14ac:dyDescent="0.3">
      <c r="A22" s="8" t="s">
        <v>101</v>
      </c>
      <c r="B22" s="17">
        <v>9.25</v>
      </c>
      <c r="C22" s="7" t="s">
        <v>43</v>
      </c>
      <c r="K22" s="36" t="s">
        <v>102</v>
      </c>
      <c r="L22" s="36"/>
      <c r="M22" s="36"/>
      <c r="N22" s="7"/>
      <c r="O22" s="36" t="s">
        <v>103</v>
      </c>
      <c r="P22" s="36"/>
      <c r="Q22" s="36"/>
      <c r="S22" s="8" t="s">
        <v>104</v>
      </c>
      <c r="T22" s="25">
        <f>(L10*$H$4/1000+P10*($H$2+$H$3)/1000)/($H$2+$H$3+$H$4)*1000</f>
        <v>0</v>
      </c>
      <c r="U22" s="18" t="str">
        <f>CONCATENATE("batch_ac_h.Sbu_restart = (open.S_bu*batch_ac_h.V_inoculum+",T22,"*batch_ac_h.V_add)/batch_ac_h.V_liq;")</f>
        <v>batch_ac_h.Sbu_restart = (open.S_bu*batch_ac_h.V_inoculum+0*batch_ac_h.V_add)/batch_ac_h.V_liq;</v>
      </c>
    </row>
    <row r="23" spans="1:21" ht="18" customHeight="1" x14ac:dyDescent="0.3">
      <c r="A23" s="8" t="s">
        <v>105</v>
      </c>
      <c r="B23" s="17">
        <v>12.67</v>
      </c>
      <c r="C23" s="7" t="s">
        <v>43</v>
      </c>
      <c r="E23" s="7"/>
      <c r="F23" s="7"/>
      <c r="G23" s="7"/>
      <c r="H23" s="7"/>
      <c r="I23" s="7"/>
      <c r="K23" s="8" t="s">
        <v>106</v>
      </c>
      <c r="L23" s="13">
        <f>$L$5*$L$3*$L$4/1000/1000*$B$2</f>
        <v>0</v>
      </c>
      <c r="M23" s="7" t="s">
        <v>107</v>
      </c>
      <c r="N23" s="7"/>
      <c r="O23" s="8" t="s">
        <v>106</v>
      </c>
      <c r="P23" s="13">
        <f>$P$5*$P$3*$P$4/1000/1000*$B$2</f>
        <v>0</v>
      </c>
      <c r="Q23" s="7" t="s">
        <v>107</v>
      </c>
      <c r="S23" s="8" t="s">
        <v>108</v>
      </c>
      <c r="T23" s="25">
        <f>(L9*$H$4/1000+P9*($H$2+$H$3)/1000)/($H$2+$H$3+$H$4)*1000</f>
        <v>0</v>
      </c>
      <c r="U23" s="18" t="str">
        <f>CONCATENATE("batch_ac_h.Spro_restart = (open.S_pro*batch_ac_h.V_inoculum+",T23,"*batch_ac_h.V_add)/batch_ac_h.V_liq;")</f>
        <v>batch_ac_h.Spro_restart = (open.S_pro*batch_ac_h.V_inoculum+0*batch_ac_h.V_add)/batch_ac_h.V_liq;</v>
      </c>
    </row>
    <row r="24" spans="1:21" ht="18" customHeight="1" x14ac:dyDescent="0.3">
      <c r="A24" s="8" t="s">
        <v>109</v>
      </c>
      <c r="B24" s="17">
        <v>7.21</v>
      </c>
      <c r="C24" s="7" t="s">
        <v>43</v>
      </c>
      <c r="E24" s="7"/>
      <c r="F24" s="7"/>
      <c r="G24" s="7"/>
      <c r="H24" s="7"/>
      <c r="I24" s="7"/>
      <c r="K24" s="8" t="s">
        <v>110</v>
      </c>
      <c r="L24" s="13">
        <f>$L$6*L3*$L$4/1000/1000*B4*B5</f>
        <v>0</v>
      </c>
      <c r="M24" s="7" t="s">
        <v>107</v>
      </c>
      <c r="N24" s="7"/>
      <c r="O24" s="8" t="s">
        <v>110</v>
      </c>
      <c r="P24" s="13">
        <f>$P$6*P3*$P$4/1000/1000*B4*B5</f>
        <v>0</v>
      </c>
      <c r="Q24" s="7" t="s">
        <v>107</v>
      </c>
      <c r="S24" s="8" t="s">
        <v>111</v>
      </c>
      <c r="T24" s="25">
        <f>(L8*$H$4/1000+P8*($H$2+$H$3)/1000)/($H$2+$H$3+$H$4)*1000</f>
        <v>3.1067961165048548</v>
      </c>
      <c r="U24" s="18" t="str">
        <f>CONCATENATE("batch_ac_h.Sac_restart = (open.S_ac*batch_ac_h.V_inoculum+",T24,"*batch_ac_h.V_add)/batch_ac_h.V_liq;")</f>
        <v>batch_ac_h.Sac_restart = (open.S_ac*batch_ac_h.V_inoculum+3.10679611650485*batch_ac_h.V_add)/batch_ac_h.V_liq;</v>
      </c>
    </row>
    <row r="25" spans="1:21" ht="18" customHeight="1" x14ac:dyDescent="0.3">
      <c r="A25" s="8" t="s">
        <v>112</v>
      </c>
      <c r="B25" s="17">
        <v>2.12</v>
      </c>
      <c r="C25" s="7" t="s">
        <v>43</v>
      </c>
      <c r="E25" s="7"/>
      <c r="F25" s="7"/>
      <c r="G25" s="7"/>
      <c r="H25" s="7"/>
      <c r="I25" s="7"/>
      <c r="K25" s="8" t="s">
        <v>113</v>
      </c>
      <c r="L25" s="13">
        <f>$L$7*L3*$L$4/1000/1000*B6</f>
        <v>0</v>
      </c>
      <c r="M25" s="7" t="s">
        <v>107</v>
      </c>
      <c r="N25" s="7"/>
      <c r="O25" s="8" t="s">
        <v>113</v>
      </c>
      <c r="P25" s="13">
        <f>$P$7*P3*$P$4/1000/1000*B6</f>
        <v>0</v>
      </c>
      <c r="Q25" s="7" t="s">
        <v>107</v>
      </c>
      <c r="S25" s="8" t="s">
        <v>114</v>
      </c>
      <c r="T25" s="7">
        <v>0</v>
      </c>
      <c r="U25" s="18" t="str">
        <f>CONCATENATE("batch_ac_h.Sh2_restart = (open.S_h2*batch_ac_h.V_inoculum+",T25,"*batch_ac_h.V_add)/batch_ac_h.V_liq;")</f>
        <v>batch_ac_h.Sh2_restart = (open.S_h2*batch_ac_h.V_inoculum+0*batch_ac_h.V_add)/batch_ac_h.V_liq;</v>
      </c>
    </row>
    <row r="26" spans="1:21" ht="18" customHeight="1" x14ac:dyDescent="0.3">
      <c r="A26" s="8" t="s">
        <v>115</v>
      </c>
      <c r="B26" s="17">
        <v>14</v>
      </c>
      <c r="C26" s="7" t="s">
        <v>43</v>
      </c>
      <c r="E26" s="7"/>
      <c r="F26" s="7"/>
      <c r="G26" s="7"/>
      <c r="H26" s="7"/>
      <c r="I26" s="7"/>
      <c r="K26" s="8" t="s">
        <v>116</v>
      </c>
      <c r="L26" s="13">
        <f>IF(L3=0,0,SUM(L23:L25,L8:L11))</f>
        <v>0</v>
      </c>
      <c r="M26" s="7" t="s">
        <v>107</v>
      </c>
      <c r="N26" s="7"/>
      <c r="O26" s="8" t="s">
        <v>116</v>
      </c>
      <c r="P26" s="13">
        <f>IF(P3=0,0,SUM(P23:P25,P8:P11))</f>
        <v>0</v>
      </c>
      <c r="Q26" s="7" t="s">
        <v>107</v>
      </c>
      <c r="S26" s="8" t="s">
        <v>117</v>
      </c>
      <c r="T26" s="7">
        <v>0</v>
      </c>
      <c r="U26" s="18" t="str">
        <f>CONCATENATE("batch_ac_h.Sch4_restart = (open.S_ch4*batch_ac_h.V_inoculum+",T26,"*batch_ac_h.V_add)/batch_ac_h.V_liq;")</f>
        <v>batch_ac_h.Sch4_restart = (open.S_ch4*batch_ac_h.V_inoculum+0*batch_ac_h.V_add)/batch_ac_h.V_liq;</v>
      </c>
    </row>
    <row r="27" spans="1:21" ht="18" customHeight="1" x14ac:dyDescent="0.3">
      <c r="A27" s="8" t="s">
        <v>118</v>
      </c>
      <c r="B27" s="17">
        <v>64</v>
      </c>
      <c r="C27" s="7" t="s">
        <v>119</v>
      </c>
      <c r="E27" s="7"/>
      <c r="F27" s="7"/>
      <c r="G27" s="7"/>
      <c r="H27" s="7"/>
      <c r="I27" s="7"/>
      <c r="K27" s="8" t="s">
        <v>120</v>
      </c>
      <c r="L27" s="13">
        <f>IF(L3=0,0,$L$2*$L$3*$L$4/1000/$L$26/(350*(1-$B$8)))</f>
        <v>0</v>
      </c>
      <c r="M27" s="7" t="s">
        <v>43</v>
      </c>
      <c r="N27" s="7"/>
      <c r="O27" s="8" t="s">
        <v>120</v>
      </c>
      <c r="P27" s="13">
        <f>IF(P3=0,0,$P$2*$P$3*$P$4/1000/$P$26/(350*(1-$B$8)))</f>
        <v>0</v>
      </c>
      <c r="Q27" s="7" t="s">
        <v>43</v>
      </c>
      <c r="S27" s="8" t="s">
        <v>121</v>
      </c>
      <c r="T27" s="25">
        <f>IF(L15=0,(P54*($H$2+$H$3)/1000)/($H$2+$H$3+$H$4)*1000,(L54*$H$4/1000+P54*($H$2+$H$3)/1000)/($H$2+$H$3+$H$4)*1000)</f>
        <v>8.2106829357529443E-3</v>
      </c>
      <c r="U27" s="18" t="str">
        <f>CONCATENATE("batch_ac_h.Sic_restart = (open.S_ic*batch_ac_h.V_inoculum+",T27,"*batch_ac_h.V_add)/batch_ac_h.V_liq;")</f>
        <v>batch_ac_h.Sic_restart = (open.S_ic*batch_ac_h.V_inoculum+0.00821068293575294*batch_ac_h.V_add)/batch_ac_h.V_liq;</v>
      </c>
    </row>
    <row r="28" spans="1:21" ht="18" customHeight="1" x14ac:dyDescent="0.3">
      <c r="A28" s="8" t="s">
        <v>122</v>
      </c>
      <c r="B28" s="17">
        <v>112</v>
      </c>
      <c r="C28" s="7" t="s">
        <v>119</v>
      </c>
      <c r="E28" s="7"/>
      <c r="F28" s="7"/>
      <c r="G28" s="7"/>
      <c r="H28" s="7"/>
      <c r="I28" s="7"/>
      <c r="K28" s="8" t="s">
        <v>57</v>
      </c>
      <c r="L28" s="26">
        <f>(1-$L$27)*$L$26</f>
        <v>0</v>
      </c>
      <c r="M28" s="7" t="s">
        <v>107</v>
      </c>
      <c r="O28" s="8" t="s">
        <v>57</v>
      </c>
      <c r="P28" s="26">
        <f>(1-$P$27)*$P$26</f>
        <v>0</v>
      </c>
      <c r="Q28" s="7" t="s">
        <v>107</v>
      </c>
      <c r="S28" s="22" t="s">
        <v>123</v>
      </c>
      <c r="T28" s="25">
        <f>(L44*$H$4/1000+P44*($H$2+$H$3)/1000)/($H$2+$H$3+$H$4)*1000</f>
        <v>0</v>
      </c>
      <c r="U28" s="18" t="str">
        <f>CONCATENATE("batch_ac_h.Sin_restart = (open.S_in*batch_ac_h.V_inoculum+",T28,"*batch_ac_h.V_add)/batch_ac_h.V_liq;")</f>
        <v>batch_ac_h.Sin_restart = (open.S_in*batch_ac_h.V_inoculum+0*batch_ac_h.V_add)/batch_ac_h.V_liq;</v>
      </c>
    </row>
    <row r="29" spans="1:21" ht="18" customHeight="1" x14ac:dyDescent="0.3">
      <c r="A29" s="8" t="s">
        <v>124</v>
      </c>
      <c r="B29" s="17">
        <v>160</v>
      </c>
      <c r="C29" s="7" t="s">
        <v>119</v>
      </c>
      <c r="E29" s="7"/>
      <c r="F29" s="7"/>
      <c r="G29" s="7"/>
      <c r="H29" s="7"/>
      <c r="I29" s="7"/>
      <c r="K29" s="8" t="s">
        <v>61</v>
      </c>
      <c r="L29" s="26">
        <f>(1-$L$19)*($L$23-$L$28*$L$16)</f>
        <v>0</v>
      </c>
      <c r="M29" s="7" t="s">
        <v>107</v>
      </c>
      <c r="O29" s="8" t="s">
        <v>61</v>
      </c>
      <c r="P29" s="26">
        <f>(1-$P$19)*($P$23-$P$28*$P$16)</f>
        <v>0</v>
      </c>
      <c r="Q29" s="7" t="s">
        <v>107</v>
      </c>
      <c r="S29" s="8" t="s">
        <v>125</v>
      </c>
      <c r="T29" s="25">
        <f>(L47*$H$4/1000+P47*($H$2+$H$3)/1000)/($H$2+$H$3+$H$4)*1000</f>
        <v>0</v>
      </c>
      <c r="U29" s="18" t="str">
        <f>CONCATENATE("batch_ac_h.Sip_restart = (open.S_ip*batch_ac_h.V_inoculum+",T29,"*batch_ac_h.V_add)/batch_ac_h.V_liq;")</f>
        <v>batch_ac_h.Sip_restart = (open.S_ip*batch_ac_h.V_inoculum+0*batch_ac_h.V_add)/batch_ac_h.V_liq;</v>
      </c>
    </row>
    <row r="30" spans="1:21" ht="18" customHeight="1" x14ac:dyDescent="0.3">
      <c r="A30" s="8" t="s">
        <v>126</v>
      </c>
      <c r="B30" s="17">
        <v>208</v>
      </c>
      <c r="C30" s="7" t="s">
        <v>119</v>
      </c>
      <c r="K30" s="8" t="s">
        <v>66</v>
      </c>
      <c r="L30" s="26">
        <f>($L$19)*($L$23-$L$28*$L$16)</f>
        <v>0</v>
      </c>
      <c r="M30" s="7" t="s">
        <v>107</v>
      </c>
      <c r="O30" s="8" t="s">
        <v>66</v>
      </c>
      <c r="P30" s="26">
        <f>($P$19)*($P$23-$P$28*$P$16)</f>
        <v>0</v>
      </c>
      <c r="Q30" s="7" t="s">
        <v>107</v>
      </c>
      <c r="S30" s="8" t="s">
        <v>127</v>
      </c>
      <c r="T30" s="25">
        <f>N80</f>
        <v>9.599220139352678E-2</v>
      </c>
      <c r="U30" s="18" t="str">
        <f>CONCATENATE("batch_ac_h.Scat_restart = (open.S_cat*batch_ac_h.V_inoculum+",T30,"*batch_ac_h.V_add)/batch_ac_h.V_liq;")</f>
        <v>batch_ac_h.Scat_restart = (open.S_cat*batch_ac_h.V_inoculum+0.0959922013935268*batch_ac_h.V_add)/batch_ac_h.V_liq;</v>
      </c>
    </row>
    <row r="31" spans="1:21" ht="18" customHeight="1" x14ac:dyDescent="0.3">
      <c r="K31" s="8" t="s">
        <v>71</v>
      </c>
      <c r="L31" s="26">
        <f>(1-$L$20)*($L$24-$L$28*$L$17)</f>
        <v>0</v>
      </c>
      <c r="M31" s="7" t="s">
        <v>107</v>
      </c>
      <c r="O31" s="8" t="s">
        <v>71</v>
      </c>
      <c r="P31" s="26">
        <f>(1-$P$20)*($P$24-$P$28*$P$17)</f>
        <v>0</v>
      </c>
      <c r="Q31" s="7" t="s">
        <v>107</v>
      </c>
      <c r="S31" s="8" t="s">
        <v>128</v>
      </c>
      <c r="T31" s="30">
        <v>0</v>
      </c>
      <c r="U31" s="18" t="str">
        <f>CONCATENATE("batch_ac_h.Sca_restart = (open.S_ca*batch_ac_h.V_inoculum+",T31,"*batch_ac_h.V_add)/batch_ac_h.V_liq;")</f>
        <v>batch_ac_h.Sca_restart = (open.S_ca*batch_ac_h.V_inoculum+0*batch_ac_h.V_add)/batch_ac_h.V_liq;</v>
      </c>
    </row>
    <row r="32" spans="1:21" ht="18" customHeight="1" x14ac:dyDescent="0.3">
      <c r="K32" s="8" t="s">
        <v>75</v>
      </c>
      <c r="L32" s="26">
        <f>($L$20)*($L$24-$L$28*$L$17)</f>
        <v>0</v>
      </c>
      <c r="M32" s="7" t="s">
        <v>107</v>
      </c>
      <c r="O32" s="8" t="s">
        <v>75</v>
      </c>
      <c r="P32" s="26">
        <f>($P$20)*($P$24-$P$28*$P$17)</f>
        <v>0</v>
      </c>
      <c r="Q32" s="7" t="s">
        <v>107</v>
      </c>
      <c r="S32" s="8" t="s">
        <v>129</v>
      </c>
      <c r="T32" s="30">
        <v>0</v>
      </c>
      <c r="U32" s="18" t="str">
        <f>CONCATENATE("batch_ac_h.Smg_restart = (open.S_mg*batch_ac_h.V_inoculum+",T32,"*batch_ac_h.V_add)/batch_ac_h.V_liq;")</f>
        <v>batch_ac_h.Smg_restart = (open.S_mg*batch_ac_h.V_inoculum+0*batch_ac_h.V_add)/batch_ac_h.V_liq;</v>
      </c>
    </row>
    <row r="33" spans="1:21" ht="18" customHeight="1" x14ac:dyDescent="0.3">
      <c r="K33" s="8" t="s">
        <v>80</v>
      </c>
      <c r="L33" s="26">
        <f>($L$25-$L$28*$L$18)</f>
        <v>0</v>
      </c>
      <c r="M33" s="7" t="s">
        <v>107</v>
      </c>
      <c r="O33" s="8" t="s">
        <v>80</v>
      </c>
      <c r="P33" s="26">
        <f>($P$25-$P$28*$P$18)</f>
        <v>0</v>
      </c>
      <c r="Q33" s="7" t="s">
        <v>107</v>
      </c>
      <c r="S33" s="8" t="s">
        <v>130</v>
      </c>
      <c r="T33" s="25">
        <f>N79</f>
        <v>0.04</v>
      </c>
      <c r="U33" s="18" t="str">
        <f>CONCATENATE("batch_ac_h.San_restart = (open.S_an*batch_ac_h.V_inoculum+",T33,"*batch_ac_h.V_add)/batch_ac_h.V_liq;")</f>
        <v>batch_ac_h.San_restart = (open.S_an*batch_ac_h.V_inoculum+0.04*batch_ac_h.V_add)/batch_ac_h.V_liq;</v>
      </c>
    </row>
    <row r="34" spans="1:21" ht="18" customHeight="1" x14ac:dyDescent="0.3">
      <c r="K34" s="8" t="s">
        <v>100</v>
      </c>
      <c r="L34" s="13">
        <f>L11</f>
        <v>0</v>
      </c>
      <c r="M34" s="7" t="s">
        <v>107</v>
      </c>
      <c r="O34" s="8" t="s">
        <v>100</v>
      </c>
      <c r="P34" s="13">
        <f>P11</f>
        <v>0</v>
      </c>
      <c r="Q34" s="7" t="s">
        <v>107</v>
      </c>
      <c r="S34" s="8" t="s">
        <v>131</v>
      </c>
      <c r="T34" s="7">
        <v>0</v>
      </c>
      <c r="U34" s="18" t="str">
        <f>CONCATENATE("batch_ac_h.ash_restart = (open.ash*batch_ac_h.V_inoculum+",T34,"*batch_ac_h.V_add)/batch_ac_h.V_liq;")</f>
        <v>batch_ac_h.ash_restart = (open.ash*batch_ac_h.V_inoculum+0*batch_ac_h.V_add)/batch_ac_h.V_liq;</v>
      </c>
    </row>
    <row r="35" spans="1:21" ht="18" customHeight="1" x14ac:dyDescent="0.3">
      <c r="A35" s="2"/>
      <c r="K35" s="8" t="s">
        <v>104</v>
      </c>
      <c r="L35" s="13">
        <f>L10</f>
        <v>0</v>
      </c>
      <c r="M35" s="7" t="s">
        <v>107</v>
      </c>
      <c r="O35" s="8" t="s">
        <v>104</v>
      </c>
      <c r="P35" s="13">
        <f>P10</f>
        <v>0</v>
      </c>
      <c r="Q35" s="7" t="s">
        <v>107</v>
      </c>
      <c r="S35" s="8" t="s">
        <v>132</v>
      </c>
      <c r="T35" s="7">
        <v>0</v>
      </c>
      <c r="U35" s="18" t="str">
        <f>CONCATENATE("batch_ac_h.Xlig_restart = (open.X_lig*batch_ac_h.V_inoculum+",T35,"*batch_ac_h.V_add)/batch_ac_h.V_liq;")</f>
        <v>batch_ac_h.Xlig_restart = (open.X_lig*batch_ac_h.V_inoculum+0*batch_ac_h.V_add)/batch_ac_h.V_liq;</v>
      </c>
    </row>
    <row r="36" spans="1:21" ht="18" customHeight="1" x14ac:dyDescent="0.3">
      <c r="K36" s="8" t="s">
        <v>108</v>
      </c>
      <c r="L36" s="13">
        <f>L9</f>
        <v>0</v>
      </c>
      <c r="M36" s="7" t="s">
        <v>107</v>
      </c>
      <c r="O36" s="8" t="s">
        <v>108</v>
      </c>
      <c r="P36" s="13">
        <f>P9</f>
        <v>0</v>
      </c>
      <c r="Q36" s="7" t="s">
        <v>107</v>
      </c>
    </row>
    <row r="37" spans="1:21" ht="18" customHeight="1" x14ac:dyDescent="0.3">
      <c r="K37" s="8" t="s">
        <v>111</v>
      </c>
      <c r="L37" s="13">
        <f>L8</f>
        <v>80</v>
      </c>
      <c r="M37" s="7" t="s">
        <v>107</v>
      </c>
      <c r="O37" s="8" t="s">
        <v>111</v>
      </c>
      <c r="P37" s="13">
        <f>P8</f>
        <v>0</v>
      </c>
      <c r="Q37" s="7" t="s">
        <v>107</v>
      </c>
    </row>
    <row r="38" spans="1:21" ht="18" customHeight="1" x14ac:dyDescent="0.3">
      <c r="K38" s="2" t="s">
        <v>133</v>
      </c>
      <c r="L38" s="20">
        <f>IF(L14=0,0,(10^(-L14)))</f>
        <v>9.9999999999999995E-8</v>
      </c>
      <c r="M38" s="1" t="s">
        <v>51</v>
      </c>
      <c r="O38" s="2" t="s">
        <v>133</v>
      </c>
      <c r="P38" s="20">
        <f>IF(P14=0,0,(10^(-P14)))</f>
        <v>2.5118864315095751E-8</v>
      </c>
      <c r="Q38" s="1" t="s">
        <v>51</v>
      </c>
      <c r="T38" s="6">
        <v>1.0441633943801966E-2</v>
      </c>
    </row>
    <row r="39" spans="1:21" ht="18" customHeight="1" x14ac:dyDescent="0.3">
      <c r="K39" s="2" t="s">
        <v>134</v>
      </c>
      <c r="L39" s="20">
        <f>IF(L14=0,0,$H$18/L38)</f>
        <v>1.0000000000000001E-7</v>
      </c>
      <c r="M39" s="1" t="s">
        <v>51</v>
      </c>
      <c r="O39" s="2" t="s">
        <v>134</v>
      </c>
      <c r="P39" s="20">
        <f>IF(P14=0,0,$H$18/P38)</f>
        <v>3.9810717055349803E-7</v>
      </c>
      <c r="Q39" s="1" t="s">
        <v>51</v>
      </c>
      <c r="T39" s="6">
        <v>8.5561750040138398E-2</v>
      </c>
    </row>
    <row r="40" spans="1:21" ht="18" customHeight="1" x14ac:dyDescent="0.3">
      <c r="A40" s="8"/>
      <c r="K40" s="2" t="s">
        <v>135</v>
      </c>
      <c r="L40" s="20">
        <f>L8/$B$27*$H$9/(L38+$H$9)</f>
        <v>1.2428481553536372</v>
      </c>
      <c r="M40" s="1" t="s">
        <v>51</v>
      </c>
      <c r="O40" s="2" t="s">
        <v>135</v>
      </c>
      <c r="P40" s="20">
        <f>P8/$B$27*$H$9/(P38+$H$9)</f>
        <v>0</v>
      </c>
      <c r="Q40" s="1" t="s">
        <v>51</v>
      </c>
    </row>
    <row r="41" spans="1:21" ht="18" customHeight="1" x14ac:dyDescent="0.3">
      <c r="K41" s="2" t="s">
        <v>136</v>
      </c>
      <c r="L41" s="20">
        <f>L9/$B$28*$H$10/(L38+$H$10)</f>
        <v>0</v>
      </c>
      <c r="M41" s="1" t="s">
        <v>51</v>
      </c>
      <c r="O41" s="2" t="s">
        <v>136</v>
      </c>
      <c r="P41" s="20">
        <f>P9/$B$28*$H$10/(P38+$H$10)</f>
        <v>0</v>
      </c>
      <c r="Q41" s="1" t="s">
        <v>51</v>
      </c>
    </row>
    <row r="42" spans="1:21" ht="18" customHeight="1" x14ac:dyDescent="0.3">
      <c r="K42" s="2" t="s">
        <v>137</v>
      </c>
      <c r="L42" s="20">
        <f>L10/$B$29*$H$11/(L38+$H$11)</f>
        <v>0</v>
      </c>
      <c r="M42" s="1" t="s">
        <v>51</v>
      </c>
      <c r="O42" s="2" t="s">
        <v>137</v>
      </c>
      <c r="P42" s="20">
        <f>P10/$B$29*$H$11/(P38+$H$11)</f>
        <v>0</v>
      </c>
      <c r="Q42" s="1" t="s">
        <v>51</v>
      </c>
    </row>
    <row r="43" spans="1:21" ht="18" customHeight="1" x14ac:dyDescent="0.3">
      <c r="K43" s="2" t="s">
        <v>138</v>
      </c>
      <c r="L43" s="20">
        <f>L11/$B$30*$H$12/(L38+$H$12)</f>
        <v>0</v>
      </c>
      <c r="M43" s="1" t="s">
        <v>51</v>
      </c>
      <c r="O43" s="2" t="s">
        <v>138</v>
      </c>
      <c r="P43" s="20">
        <f>P11/$B$30*$H$12/(P38+$H$12)</f>
        <v>0</v>
      </c>
      <c r="Q43" s="1" t="s">
        <v>51</v>
      </c>
    </row>
    <row r="44" spans="1:21" ht="18" customHeight="1" x14ac:dyDescent="0.3">
      <c r="K44" s="2" t="s">
        <v>123</v>
      </c>
      <c r="L44" s="20">
        <f>L12/$B$15/1000</f>
        <v>0</v>
      </c>
      <c r="M44" s="1" t="s">
        <v>51</v>
      </c>
      <c r="O44" s="2" t="s">
        <v>123</v>
      </c>
      <c r="P44" s="20">
        <f>P12/$B$15/1000</f>
        <v>0</v>
      </c>
      <c r="Q44" s="1" t="s">
        <v>51</v>
      </c>
    </row>
    <row r="45" spans="1:21" ht="18" customHeight="1" x14ac:dyDescent="0.3">
      <c r="K45" s="2" t="s">
        <v>139</v>
      </c>
      <c r="L45" s="20">
        <f>L44*L38/($H$14+L38)</f>
        <v>0</v>
      </c>
      <c r="M45" s="1" t="s">
        <v>51</v>
      </c>
      <c r="O45" s="2" t="s">
        <v>139</v>
      </c>
      <c r="P45" s="20">
        <f>P44*P38/($H$14+P38)</f>
        <v>0</v>
      </c>
      <c r="Q45" s="1" t="s">
        <v>51</v>
      </c>
    </row>
    <row r="46" spans="1:21" ht="18" customHeight="1" x14ac:dyDescent="0.3">
      <c r="K46" s="2" t="s">
        <v>140</v>
      </c>
      <c r="L46" s="20">
        <f>L44-L45</f>
        <v>0</v>
      </c>
      <c r="M46" s="1" t="s">
        <v>51</v>
      </c>
      <c r="O46" s="2" t="s">
        <v>140</v>
      </c>
      <c r="P46" s="20">
        <f>P44-P45</f>
        <v>0</v>
      </c>
      <c r="Q46" s="1" t="s">
        <v>51</v>
      </c>
    </row>
    <row r="47" spans="1:21" ht="18" customHeight="1" x14ac:dyDescent="0.3">
      <c r="K47" s="2" t="s">
        <v>125</v>
      </c>
      <c r="L47" s="20">
        <f>L13/$B$16/1000</f>
        <v>0</v>
      </c>
      <c r="M47" s="6" t="s">
        <v>51</v>
      </c>
      <c r="O47" s="2" t="s">
        <v>125</v>
      </c>
      <c r="P47" s="20">
        <f>P13/$B$16/1000</f>
        <v>0</v>
      </c>
      <c r="Q47" s="6" t="s">
        <v>51</v>
      </c>
    </row>
    <row r="48" spans="1:21" ht="18" customHeight="1" x14ac:dyDescent="0.3">
      <c r="K48" s="2" t="s">
        <v>141</v>
      </c>
      <c r="L48" s="20">
        <f>$H$15*L47/($H$15+L38+L38^2/$H$16+L38^3/($H$16*$H$17))</f>
        <v>0</v>
      </c>
      <c r="M48" s="6" t="s">
        <v>51</v>
      </c>
      <c r="O48" s="2" t="s">
        <v>141</v>
      </c>
      <c r="P48" s="20">
        <f>$H$15*P47/($H$15+P38+P38^2/$H$16+P38^3/($H$16*$H$17))</f>
        <v>0</v>
      </c>
      <c r="Q48" s="6" t="s">
        <v>51</v>
      </c>
    </row>
    <row r="49" spans="11:17" ht="18" customHeight="1" x14ac:dyDescent="0.3">
      <c r="K49" s="2" t="s">
        <v>142</v>
      </c>
      <c r="L49" s="27">
        <f>$H$16*L47/($H$15*$H$16/L38+$H$16+L38+(L38^2)/$H$17)</f>
        <v>0</v>
      </c>
      <c r="M49" s="6" t="s">
        <v>51</v>
      </c>
      <c r="O49" s="2" t="s">
        <v>142</v>
      </c>
      <c r="P49" s="20">
        <f>$H$16*P47/($H$15*$H$16/P38+$H$16+P38+(P38^2)/$H$17)</f>
        <v>0</v>
      </c>
      <c r="Q49" s="6" t="s">
        <v>51</v>
      </c>
    </row>
    <row r="50" spans="11:17" ht="18" customHeight="1" x14ac:dyDescent="0.3">
      <c r="K50" s="2" t="s">
        <v>143</v>
      </c>
      <c r="L50" s="27">
        <f>L47*$H$17/(L38+$H$17+$H$17*$H$16/L38+$H$17*$H$16*$H$15/(L38^2))</f>
        <v>0</v>
      </c>
      <c r="M50" s="6" t="s">
        <v>51</v>
      </c>
      <c r="O50" s="2" t="s">
        <v>143</v>
      </c>
      <c r="P50" s="20">
        <f>P47*$H$17/(P38+$H$17+$H$17*$H$16/P38+$H$17*$H$16*$H$15/(P38^2))</f>
        <v>0</v>
      </c>
      <c r="Q50" s="6" t="s">
        <v>51</v>
      </c>
    </row>
    <row r="51" spans="11:17" ht="18" customHeight="1" x14ac:dyDescent="0.3">
      <c r="K51" s="2" t="s">
        <v>144</v>
      </c>
      <c r="L51" s="20">
        <f>L47-L48-L49-L50</f>
        <v>0</v>
      </c>
      <c r="M51" s="6" t="s">
        <v>51</v>
      </c>
      <c r="O51" s="2" t="s">
        <v>144</v>
      </c>
      <c r="P51" s="20">
        <f>P47-P48-P49-P50</f>
        <v>0</v>
      </c>
      <c r="Q51" s="6" t="s">
        <v>51</v>
      </c>
    </row>
    <row r="52" spans="11:17" ht="18" customHeight="1" x14ac:dyDescent="0.3">
      <c r="K52" s="2" t="s">
        <v>145</v>
      </c>
      <c r="L52" s="24">
        <f>L15/$B$13*2/1000</f>
        <v>0</v>
      </c>
      <c r="M52" s="1" t="s">
        <v>51</v>
      </c>
      <c r="O52" s="2" t="s">
        <v>145</v>
      </c>
      <c r="P52" s="24">
        <f>P15/$B$13*2/1000</f>
        <v>8.0879999999999997E-3</v>
      </c>
      <c r="Q52" s="1" t="s">
        <v>51</v>
      </c>
    </row>
    <row r="53" spans="11:17" ht="18" customHeight="1" x14ac:dyDescent="0.3">
      <c r="K53" s="2" t="s">
        <v>146</v>
      </c>
      <c r="L53" s="24">
        <f>L52-SUM(L40:L43)-L39+L38-L46-L49-2*L48+L51</f>
        <v>-1.2428481553536372</v>
      </c>
      <c r="M53" s="1" t="s">
        <v>51</v>
      </c>
      <c r="O53" s="2" t="s">
        <v>146</v>
      </c>
      <c r="P53" s="24">
        <f>P52-SUM(P40:P43)-P39+P38-P46-P49-2*P48+P51</f>
        <v>8.0876270116937606E-3</v>
      </c>
      <c r="Q53" s="1" t="s">
        <v>51</v>
      </c>
    </row>
    <row r="54" spans="11:17" ht="18" customHeight="1" x14ac:dyDescent="0.3">
      <c r="K54" s="2" t="s">
        <v>121</v>
      </c>
      <c r="L54" s="24">
        <f>L53*(L38+$H$13)/$H$13</f>
        <v>-1.5210871990957227</v>
      </c>
      <c r="M54" s="1" t="s">
        <v>51</v>
      </c>
      <c r="O54" s="2" t="s">
        <v>121</v>
      </c>
      <c r="P54" s="24">
        <f>P53*(P38+$H$13)/$H$13</f>
        <v>8.5424277008338718E-3</v>
      </c>
      <c r="Q54" s="1" t="s">
        <v>51</v>
      </c>
    </row>
    <row r="55" spans="11:17" ht="18" customHeight="1" x14ac:dyDescent="0.3">
      <c r="K55" s="2" t="s">
        <v>147</v>
      </c>
      <c r="L55" s="24">
        <f>L54-L53</f>
        <v>-0.27823904374208541</v>
      </c>
      <c r="M55" s="1" t="s">
        <v>51</v>
      </c>
      <c r="O55" s="2" t="s">
        <v>147</v>
      </c>
      <c r="P55" s="24">
        <f>P54-P53</f>
        <v>4.5480068914011129E-4</v>
      </c>
      <c r="Q55" s="1" t="s">
        <v>51</v>
      </c>
    </row>
    <row r="56" spans="11:17" ht="18" customHeight="1" x14ac:dyDescent="0.3">
      <c r="K56" s="2" t="s">
        <v>148</v>
      </c>
      <c r="L56" s="23">
        <f>L38-L39-L40-L41-L42-L43+L45-3*L48-2*L49-L50+L57-L53</f>
        <v>4.0000000000000036E-2</v>
      </c>
      <c r="M56" s="1" t="s">
        <v>149</v>
      </c>
      <c r="O56" s="2" t="s">
        <v>148</v>
      </c>
      <c r="P56" s="23">
        <f>P38-P39-P40-P41-P42-P43+P45-3*P48-2*P49-P50+P57-P53</f>
        <v>-7.5879999999999993E-3</v>
      </c>
      <c r="Q56" s="1" t="s">
        <v>149</v>
      </c>
    </row>
    <row r="57" spans="11:17" ht="18" customHeight="1" x14ac:dyDescent="0.3">
      <c r="K57" s="2" t="s">
        <v>150</v>
      </c>
      <c r="L57" s="4">
        <v>0.04</v>
      </c>
      <c r="M57" s="1" t="s">
        <v>51</v>
      </c>
      <c r="O57" s="2" t="s">
        <v>150</v>
      </c>
      <c r="P57" s="4">
        <v>5.0000000000000001E-4</v>
      </c>
      <c r="Q57" s="1" t="s">
        <v>51</v>
      </c>
    </row>
    <row r="58" spans="11:17" ht="18" customHeight="1" x14ac:dyDescent="0.3">
      <c r="K58" s="2" t="s">
        <v>130</v>
      </c>
      <c r="L58" s="28">
        <v>0.02</v>
      </c>
      <c r="M58" s="1" t="s">
        <v>51</v>
      </c>
      <c r="O58" s="2" t="s">
        <v>130</v>
      </c>
      <c r="P58" s="28">
        <v>0.02</v>
      </c>
      <c r="Q58" s="1" t="s">
        <v>51</v>
      </c>
    </row>
    <row r="59" spans="11:17" ht="18" customHeight="1" x14ac:dyDescent="0.3">
      <c r="K59" s="2" t="s">
        <v>127</v>
      </c>
      <c r="L59" s="29">
        <f>L57+L58</f>
        <v>0.06</v>
      </c>
      <c r="M59" s="1" t="s">
        <v>51</v>
      </c>
      <c r="O59" s="2" t="s">
        <v>127</v>
      </c>
      <c r="P59" s="29">
        <f>P57+P58</f>
        <v>2.0500000000000001E-2</v>
      </c>
      <c r="Q59" s="1" t="s">
        <v>51</v>
      </c>
    </row>
    <row r="62" spans="11:17" ht="18" customHeight="1" x14ac:dyDescent="0.3">
      <c r="M62" s="36" t="s">
        <v>151</v>
      </c>
      <c r="N62" s="36"/>
      <c r="O62" s="36"/>
    </row>
    <row r="63" spans="11:17" ht="18" customHeight="1" x14ac:dyDescent="0.3">
      <c r="M63" s="2" t="s">
        <v>133</v>
      </c>
      <c r="N63" s="20">
        <f>(L38*$H$4/1000+P38*($H$2+$H$3)/1000)/($H$2+$H$3+$H$4)*1000</f>
        <v>2.8026869584412418E-8</v>
      </c>
      <c r="O63" s="1" t="s">
        <v>51</v>
      </c>
    </row>
    <row r="64" spans="11:17" ht="18" customHeight="1" x14ac:dyDescent="0.3">
      <c r="M64" s="2" t="s">
        <v>134</v>
      </c>
      <c r="N64" s="20">
        <f>$H$18/N63</f>
        <v>3.5680046142440596E-7</v>
      </c>
      <c r="O64" s="1" t="s">
        <v>51</v>
      </c>
    </row>
    <row r="65" spans="13:15" ht="18" customHeight="1" x14ac:dyDescent="0.3">
      <c r="M65" s="2" t="s">
        <v>135</v>
      </c>
      <c r="N65" s="20">
        <f>(L40*$H$4/1000+P40*($H$2+$H$3)/1000)/($H$2+$H$3+$H$4)*1000</f>
        <v>4.8265947780723774E-2</v>
      </c>
      <c r="O65" s="1" t="s">
        <v>51</v>
      </c>
    </row>
    <row r="66" spans="13:15" ht="18" customHeight="1" x14ac:dyDescent="0.3">
      <c r="M66" s="2" t="s">
        <v>136</v>
      </c>
      <c r="N66" s="20">
        <f t="shared" ref="N66:N68" si="2">(L41*$H$4/1000+P41*($H$2+$H$3)/1000)/($H$2+$H$3+$H$4)*1000</f>
        <v>0</v>
      </c>
      <c r="O66" s="1" t="s">
        <v>51</v>
      </c>
    </row>
    <row r="67" spans="13:15" ht="18" customHeight="1" x14ac:dyDescent="0.3">
      <c r="M67" s="2" t="s">
        <v>137</v>
      </c>
      <c r="N67" s="20">
        <f t="shared" si="2"/>
        <v>0</v>
      </c>
      <c r="O67" s="1" t="s">
        <v>51</v>
      </c>
    </row>
    <row r="68" spans="13:15" ht="18" customHeight="1" x14ac:dyDescent="0.3">
      <c r="M68" s="2" t="s">
        <v>138</v>
      </c>
      <c r="N68" s="20">
        <f t="shared" si="2"/>
        <v>0</v>
      </c>
      <c r="O68" s="1" t="s">
        <v>51</v>
      </c>
    </row>
    <row r="69" spans="13:15" ht="18" customHeight="1" x14ac:dyDescent="0.3">
      <c r="M69" s="2" t="s">
        <v>139</v>
      </c>
      <c r="N69" s="20">
        <f>T28*N63/($H$14+N63)</f>
        <v>0</v>
      </c>
      <c r="O69" s="1" t="s">
        <v>51</v>
      </c>
    </row>
    <row r="70" spans="13:15" ht="18" customHeight="1" x14ac:dyDescent="0.3">
      <c r="M70" s="2" t="s">
        <v>140</v>
      </c>
      <c r="N70" s="20">
        <f>T28-N69</f>
        <v>0</v>
      </c>
      <c r="O70" s="1" t="s">
        <v>51</v>
      </c>
    </row>
    <row r="71" spans="13:15" ht="18" customHeight="1" x14ac:dyDescent="0.3">
      <c r="M71" s="2" t="s">
        <v>141</v>
      </c>
      <c r="N71" s="20">
        <f>$H$15*T29/($H$15+N63+N63^2/$H$16+N63^3/($H$16*$H$17))</f>
        <v>0</v>
      </c>
      <c r="O71" s="6" t="s">
        <v>51</v>
      </c>
    </row>
    <row r="72" spans="13:15" ht="18" customHeight="1" x14ac:dyDescent="0.3">
      <c r="M72" s="2" t="s">
        <v>142</v>
      </c>
      <c r="N72" s="20">
        <f>$H$16*T29/($H$15*$H$16/N63+$H$16+N63+(N63^2)/$H$17)</f>
        <v>0</v>
      </c>
      <c r="O72" s="6" t="s">
        <v>51</v>
      </c>
    </row>
    <row r="73" spans="13:15" ht="18" customHeight="1" x14ac:dyDescent="0.3">
      <c r="M73" s="2" t="s">
        <v>143</v>
      </c>
      <c r="N73" s="20">
        <f>T29*$H$17/(N63+$H$17+$H$17*$H$16/N63+$H$17*$H$16*$H$15/(N63^2))</f>
        <v>0</v>
      </c>
      <c r="O73" s="6" t="s">
        <v>51</v>
      </c>
    </row>
    <row r="74" spans="13:15" ht="18" customHeight="1" x14ac:dyDescent="0.3">
      <c r="M74" s="2" t="s">
        <v>144</v>
      </c>
      <c r="N74" s="20">
        <f>T29-N71-N72-N73</f>
        <v>0</v>
      </c>
      <c r="O74" s="6" t="s">
        <v>51</v>
      </c>
    </row>
    <row r="75" spans="13:15" ht="18" customHeight="1" x14ac:dyDescent="0.3">
      <c r="M75" s="2" t="s">
        <v>146</v>
      </c>
      <c r="N75" s="24">
        <f>T27*$H$13/($H$13+N63)</f>
        <v>7.7259248392111688E-3</v>
      </c>
      <c r="O75" s="1" t="s">
        <v>51</v>
      </c>
    </row>
    <row r="76" spans="13:15" ht="18" customHeight="1" x14ac:dyDescent="0.3">
      <c r="M76" s="2" t="s">
        <v>147</v>
      </c>
      <c r="N76" s="24">
        <f>T27-N75</f>
        <v>4.8475809654177551E-4</v>
      </c>
      <c r="O76" s="1" t="s">
        <v>51</v>
      </c>
    </row>
    <row r="77" spans="13:15" ht="18" customHeight="1" x14ac:dyDescent="0.3">
      <c r="M77" s="2" t="s">
        <v>148</v>
      </c>
      <c r="N77" s="23">
        <f>N63-N64-N65-N66-N67-N68+N69-3*N71-2*N72-N73+N78-N75</f>
        <v>0</v>
      </c>
      <c r="O77" s="1" t="s">
        <v>149</v>
      </c>
    </row>
    <row r="78" spans="13:15" ht="18" customHeight="1" x14ac:dyDescent="0.3">
      <c r="M78" s="2" t="s">
        <v>150</v>
      </c>
      <c r="N78" s="4">
        <v>5.5992201393526779E-2</v>
      </c>
      <c r="O78" s="1" t="s">
        <v>51</v>
      </c>
    </row>
    <row r="79" spans="13:15" ht="18" customHeight="1" x14ac:dyDescent="0.3">
      <c r="M79" s="2" t="s">
        <v>130</v>
      </c>
      <c r="N79" s="28">
        <v>0.04</v>
      </c>
      <c r="O79" s="1" t="s">
        <v>51</v>
      </c>
    </row>
    <row r="80" spans="13:15" ht="18" customHeight="1" x14ac:dyDescent="0.3">
      <c r="M80" s="2" t="s">
        <v>127</v>
      </c>
      <c r="N80" s="29">
        <f>N78+N79</f>
        <v>9.599220139352678E-2</v>
      </c>
      <c r="O80" s="1" t="s">
        <v>51</v>
      </c>
    </row>
  </sheetData>
  <mergeCells count="9">
    <mergeCell ref="S1:U1"/>
    <mergeCell ref="G8:I8"/>
    <mergeCell ref="K22:M22"/>
    <mergeCell ref="O22:Q22"/>
    <mergeCell ref="M62:O62"/>
    <mergeCell ref="A1:C1"/>
    <mergeCell ref="G1:I1"/>
    <mergeCell ref="K1:M1"/>
    <mergeCell ref="O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07C9-61C4-4CA2-B1CA-6A91B6C0758F}">
  <dimension ref="A1:U80"/>
  <sheetViews>
    <sheetView topLeftCell="A19" zoomScale="85" zoomScaleNormal="85" workbookViewId="0">
      <selection activeCell="N80" sqref="N80"/>
    </sheetView>
  </sheetViews>
  <sheetFormatPr defaultColWidth="8.88671875" defaultRowHeight="18" customHeight="1" x14ac:dyDescent="0.3"/>
  <cols>
    <col min="1" max="21" width="10.6640625" style="6" customWidth="1"/>
    <col min="22" max="16384" width="8.88671875" style="6"/>
  </cols>
  <sheetData>
    <row r="1" spans="1:21" ht="18" customHeight="1" x14ac:dyDescent="0.3">
      <c r="A1" s="37" t="s">
        <v>0</v>
      </c>
      <c r="B1" s="37"/>
      <c r="C1" s="37"/>
      <c r="G1" s="38" t="s">
        <v>1</v>
      </c>
      <c r="H1" s="38"/>
      <c r="I1" s="38"/>
      <c r="K1" s="38" t="s">
        <v>2</v>
      </c>
      <c r="L1" s="38"/>
      <c r="M1" s="38"/>
      <c r="N1" s="7"/>
      <c r="O1" s="38" t="s">
        <v>3</v>
      </c>
      <c r="P1" s="38"/>
      <c r="Q1" s="38"/>
      <c r="S1" s="35" t="s">
        <v>4</v>
      </c>
      <c r="T1" s="35"/>
      <c r="U1" s="35"/>
    </row>
    <row r="2" spans="1:21" ht="18" customHeight="1" x14ac:dyDescent="0.3">
      <c r="A2" s="2" t="s">
        <v>5</v>
      </c>
      <c r="B2" s="9">
        <f>32*6/180</f>
        <v>1.0666666666666667</v>
      </c>
      <c r="C2" s="3" t="s">
        <v>6</v>
      </c>
      <c r="D2" s="7" t="s">
        <v>7</v>
      </c>
      <c r="G2" s="2" t="s">
        <v>8</v>
      </c>
      <c r="H2" s="11">
        <v>453</v>
      </c>
      <c r="I2" s="7" t="s">
        <v>9</v>
      </c>
      <c r="K2" s="2" t="s">
        <v>10</v>
      </c>
      <c r="L2" s="11">
        <v>100</v>
      </c>
      <c r="M2" s="7" t="s">
        <v>11</v>
      </c>
      <c r="N2" s="7"/>
      <c r="O2" s="2" t="s">
        <v>10</v>
      </c>
      <c r="P2" s="11">
        <v>0</v>
      </c>
      <c r="Q2" s="7" t="s">
        <v>11</v>
      </c>
      <c r="S2" s="8" t="s">
        <v>12</v>
      </c>
      <c r="T2" s="7">
        <v>0</v>
      </c>
      <c r="U2" s="18" t="str">
        <f>CONCATENATE("batch_pro_f.Xsu_restart = (open.X_su*batch_pro_f.V_inoculum+",T2,"*batch_pro_f.V_add)/batch_pro_f.V_liq;")</f>
        <v>batch_pro_f.Xsu_restart = (open.X_su*batch_pro_f.V_inoculum+0*batch_pro_f.V_add)/batch_pro_f.V_liq;</v>
      </c>
    </row>
    <row r="3" spans="1:21" ht="18" customHeight="1" x14ac:dyDescent="0.3">
      <c r="A3" s="2" t="s">
        <v>13</v>
      </c>
      <c r="B3" s="9">
        <v>1.58</v>
      </c>
      <c r="C3" s="3" t="s">
        <v>14</v>
      </c>
      <c r="D3" s="7" t="s">
        <v>7</v>
      </c>
      <c r="G3" s="2" t="s">
        <v>15</v>
      </c>
      <c r="H3" s="10">
        <v>0</v>
      </c>
      <c r="I3" s="7" t="s">
        <v>9</v>
      </c>
      <c r="K3" s="2" t="s">
        <v>16</v>
      </c>
      <c r="L3" s="11">
        <v>0</v>
      </c>
      <c r="M3" s="7" t="s">
        <v>17</v>
      </c>
      <c r="N3" s="7"/>
      <c r="O3" s="2" t="s">
        <v>16</v>
      </c>
      <c r="P3" s="11">
        <v>0</v>
      </c>
      <c r="Q3" s="7" t="s">
        <v>17</v>
      </c>
      <c r="S3" s="8" t="s">
        <v>18</v>
      </c>
      <c r="T3" s="7">
        <v>0</v>
      </c>
      <c r="U3" s="18" t="str">
        <f>CONCATENATE("batch_pro_f.Xaa_restart = (open.X_aa*batch_pro_f.V_inoculum+",T3,"*batch_pro_f.V_add)/batch_pro_f.V_liq;")</f>
        <v>batch_pro_f.Xaa_restart = (open.X_aa*batch_pro_f.V_inoculum+0*batch_pro_f.V_add)/batch_pro_f.V_liq;</v>
      </c>
    </row>
    <row r="4" spans="1:21" ht="18" customHeight="1" x14ac:dyDescent="0.3">
      <c r="A4" s="2" t="s">
        <v>19</v>
      </c>
      <c r="B4" s="9">
        <v>1.53</v>
      </c>
      <c r="C4" s="3" t="s">
        <v>20</v>
      </c>
      <c r="D4" s="7" t="s">
        <v>7</v>
      </c>
      <c r="G4" s="5" t="s">
        <v>21</v>
      </c>
      <c r="H4" s="12">
        <v>8</v>
      </c>
      <c r="I4" s="7" t="s">
        <v>9</v>
      </c>
      <c r="K4" s="8" t="s">
        <v>22</v>
      </c>
      <c r="L4" s="14">
        <v>0</v>
      </c>
      <c r="M4" s="7" t="s">
        <v>23</v>
      </c>
      <c r="N4" s="7"/>
      <c r="O4" s="8" t="s">
        <v>22</v>
      </c>
      <c r="P4" s="14">
        <v>0</v>
      </c>
      <c r="Q4" s="7" t="s">
        <v>23</v>
      </c>
      <c r="S4" s="8" t="s">
        <v>24</v>
      </c>
      <c r="T4" s="7">
        <v>0</v>
      </c>
      <c r="U4" s="18" t="str">
        <f>CONCATENATE("batch_pro_f.Xfa_restart = (open.X_fa*batch_pro_f.V_inoculum+",T4,"*batch_pro_f.V_add)/batch_pro_f.V_liq;")</f>
        <v>batch_pro_f.Xfa_restart = (open.X_fa*batch_pro_f.V_inoculum+0*batch_pro_f.V_add)/batch_pro_f.V_liq;</v>
      </c>
    </row>
    <row r="5" spans="1:21" ht="18" customHeight="1" x14ac:dyDescent="0.3">
      <c r="A5" s="5" t="s">
        <v>25</v>
      </c>
      <c r="B5" s="9">
        <f>1/0.16</f>
        <v>6.25</v>
      </c>
      <c r="C5" s="3" t="s">
        <v>26</v>
      </c>
      <c r="D5" s="7" t="s">
        <v>7</v>
      </c>
      <c r="G5" s="5" t="s">
        <v>27</v>
      </c>
      <c r="H5" s="12">
        <f>SUM(H2:H4)</f>
        <v>461</v>
      </c>
      <c r="I5" s="7" t="s">
        <v>9</v>
      </c>
      <c r="K5" s="8" t="s">
        <v>28</v>
      </c>
      <c r="L5" s="15">
        <v>0</v>
      </c>
      <c r="M5" s="7" t="s">
        <v>29</v>
      </c>
      <c r="N5" s="7"/>
      <c r="O5" s="8" t="s">
        <v>28</v>
      </c>
      <c r="P5" s="15">
        <v>1</v>
      </c>
      <c r="Q5" s="7" t="s">
        <v>29</v>
      </c>
      <c r="S5" s="8" t="s">
        <v>30</v>
      </c>
      <c r="T5" s="7">
        <v>0</v>
      </c>
      <c r="U5" s="18" t="str">
        <f>CONCATENATE("batch_pro_f.Xc4_restart = (open.X_c4*batch_pro_f.V_inoculum+",T5,"*batch_pro_f.V_add)/batch_pro_f.V_liq;")</f>
        <v>batch_pro_f.Xc4_restart = (open.X_c4*batch_pro_f.V_inoculum+0*batch_pro_f.V_add)/batch_pro_f.V_liq;</v>
      </c>
    </row>
    <row r="6" spans="1:21" ht="18" customHeight="1" x14ac:dyDescent="0.3">
      <c r="A6" s="2" t="s">
        <v>31</v>
      </c>
      <c r="B6" s="9">
        <v>2.83</v>
      </c>
      <c r="C6" s="3" t="s">
        <v>32</v>
      </c>
      <c r="D6" s="7" t="s">
        <v>7</v>
      </c>
      <c r="H6" s="33"/>
      <c r="K6" s="8" t="s">
        <v>33</v>
      </c>
      <c r="L6" s="16">
        <v>0</v>
      </c>
      <c r="M6" s="7" t="s">
        <v>34</v>
      </c>
      <c r="N6" s="7"/>
      <c r="O6" s="8" t="s">
        <v>33</v>
      </c>
      <c r="P6" s="16">
        <v>0</v>
      </c>
      <c r="Q6" s="7" t="s">
        <v>34</v>
      </c>
      <c r="S6" s="8" t="s">
        <v>35</v>
      </c>
      <c r="T6" s="7">
        <v>0</v>
      </c>
      <c r="U6" s="18" t="str">
        <f>CONCATENATE("batch_pro_f.Xpro_restart = (open.X_pro*batch_pro_f.V_inoculum+",T6,"*batch_pro_f.V_add)/batch_pro_f.V_liq;")</f>
        <v>batch_pro_f.Xpro_restart = (open.X_pro*batch_pro_f.V_inoculum+0*batch_pro_f.V_add)/batch_pro_f.V_liq;</v>
      </c>
    </row>
    <row r="7" spans="1:21" ht="18" customHeight="1" x14ac:dyDescent="0.3">
      <c r="A7" s="8" t="s">
        <v>36</v>
      </c>
      <c r="B7" s="9">
        <f>273.15+25</f>
        <v>298.14999999999998</v>
      </c>
      <c r="C7" s="7" t="s">
        <v>37</v>
      </c>
      <c r="D7" s="7" t="s">
        <v>38</v>
      </c>
      <c r="K7" s="8" t="s">
        <v>39</v>
      </c>
      <c r="L7" s="15">
        <v>0</v>
      </c>
      <c r="M7" s="7" t="s">
        <v>40</v>
      </c>
      <c r="N7" s="7"/>
      <c r="O7" s="8" t="s">
        <v>39</v>
      </c>
      <c r="P7" s="15">
        <v>0</v>
      </c>
      <c r="Q7" s="7" t="s">
        <v>40</v>
      </c>
      <c r="S7" s="8" t="s">
        <v>41</v>
      </c>
      <c r="T7" s="7">
        <v>0</v>
      </c>
      <c r="U7" s="18" t="str">
        <f>CONCATENATE("batch_pro_f.Xac_restart = (open.X_ac*batch_pro_f.V_inoculum+",T7,"*batch_pro_f.V_add)/batch_pro_f.V_liq;")</f>
        <v>batch_pro_f.Xac_restart = (open.X_ac*batch_pro_f.V_inoculum+0*batch_pro_f.V_add)/batch_pro_f.V_liq;</v>
      </c>
    </row>
    <row r="8" spans="1:21" ht="18" customHeight="1" x14ac:dyDescent="0.3">
      <c r="A8" s="8" t="s">
        <v>42</v>
      </c>
      <c r="B8" s="9">
        <v>0.08</v>
      </c>
      <c r="C8" s="7" t="s">
        <v>43</v>
      </c>
      <c r="D8" s="7"/>
      <c r="G8" s="36" t="s">
        <v>44</v>
      </c>
      <c r="H8" s="36"/>
      <c r="I8" s="36"/>
      <c r="J8" s="6">
        <f>L9*H4/1000/SUM(H2+H4+H5)*1000</f>
        <v>0.76355748373101939</v>
      </c>
      <c r="K8" s="8" t="s">
        <v>45</v>
      </c>
      <c r="L8" s="16">
        <v>0</v>
      </c>
      <c r="M8" s="7" t="s">
        <v>46</v>
      </c>
      <c r="N8" s="7"/>
      <c r="O8" s="8" t="s">
        <v>45</v>
      </c>
      <c r="P8" s="16">
        <v>0</v>
      </c>
      <c r="Q8" s="7" t="s">
        <v>46</v>
      </c>
      <c r="S8" s="8" t="s">
        <v>47</v>
      </c>
      <c r="T8" s="7">
        <v>0</v>
      </c>
      <c r="U8" s="18" t="str">
        <f>CONCATENATE("batch_pro_f.Xh2_restart = (open.X_h2*batch_pro_f.V_inoculum+",T8,"*batch_pro_f.V_add)/batch_pro_f.V_liq;")</f>
        <v>batch_pro_f.Xh2_restart = (open.X_h2*batch_pro_f.V_inoculum+0*batch_pro_f.V_add)/batch_pro_f.V_liq;</v>
      </c>
    </row>
    <row r="9" spans="1:21" ht="18" customHeight="1" x14ac:dyDescent="0.3">
      <c r="A9" s="8" t="s">
        <v>48</v>
      </c>
      <c r="B9" s="17">
        <v>60</v>
      </c>
      <c r="C9" s="7" t="s">
        <v>49</v>
      </c>
      <c r="G9" s="8" t="s">
        <v>50</v>
      </c>
      <c r="H9" s="19">
        <f t="shared" ref="H9:H18" si="0">10^-B17</f>
        <v>1.7378008287493744E-5</v>
      </c>
      <c r="I9" s="7" t="s">
        <v>51</v>
      </c>
      <c r="K9" s="8" t="s">
        <v>52</v>
      </c>
      <c r="L9" s="16">
        <v>88</v>
      </c>
      <c r="M9" s="7" t="s">
        <v>46</v>
      </c>
      <c r="N9" s="7"/>
      <c r="O9" s="8" t="s">
        <v>52</v>
      </c>
      <c r="P9" s="16">
        <v>0</v>
      </c>
      <c r="Q9" s="7" t="s">
        <v>46</v>
      </c>
      <c r="S9" s="8" t="s">
        <v>53</v>
      </c>
      <c r="T9" s="7">
        <v>0</v>
      </c>
      <c r="U9" s="18" t="str">
        <f>CONCATENATE("batch_pro_f.Xc_restart = (open.X_c*batch_pro_f.V_inoculum+",T9,"*batch_pro_f.V_add)/batch_pro_f.V_liq;")</f>
        <v>batch_pro_f.Xc_restart = (open.X_c*batch_pro_f.V_inoculum+0*batch_pro_f.V_add)/batch_pro_f.V_liq;</v>
      </c>
    </row>
    <row r="10" spans="1:21" ht="18" customHeight="1" x14ac:dyDescent="0.3">
      <c r="A10" s="8" t="s">
        <v>54</v>
      </c>
      <c r="B10" s="17">
        <v>74</v>
      </c>
      <c r="C10" s="7" t="s">
        <v>49</v>
      </c>
      <c r="G10" s="8" t="s">
        <v>55</v>
      </c>
      <c r="H10" s="19">
        <f t="shared" si="0"/>
        <v>1.3182567385564052E-5</v>
      </c>
      <c r="I10" s="7" t="s">
        <v>51</v>
      </c>
      <c r="K10" s="8" t="s">
        <v>56</v>
      </c>
      <c r="L10" s="16">
        <v>0</v>
      </c>
      <c r="M10" s="7" t="s">
        <v>46</v>
      </c>
      <c r="N10" s="7"/>
      <c r="O10" s="8" t="s">
        <v>56</v>
      </c>
      <c r="P10" s="16">
        <v>0</v>
      </c>
      <c r="Q10" s="7" t="s">
        <v>46</v>
      </c>
      <c r="S10" s="8" t="s">
        <v>57</v>
      </c>
      <c r="T10" s="25">
        <f>(L28*$H$4/1000+P28*($H$2+$H$3)/1000)/($H$2+$H$3+$H$4)*1000</f>
        <v>0</v>
      </c>
      <c r="U10" s="18" t="str">
        <f>CONCATENATE("batch_pro_f.Xi_restart = (open.X_i*batch_pro_f.V_inoculum+",L27,"*batch_pro_f.V_add)/batch_pro_f.V_liq;")</f>
        <v>batch_pro_f.Xi_restart = (open.X_i*batch_pro_f.V_inoculum+0*batch_pro_f.V_add)/batch_pro_f.V_liq;</v>
      </c>
    </row>
    <row r="11" spans="1:21" ht="18" customHeight="1" x14ac:dyDescent="0.3">
      <c r="A11" s="8" t="s">
        <v>58</v>
      </c>
      <c r="B11" s="17">
        <v>88</v>
      </c>
      <c r="C11" s="7" t="s">
        <v>49</v>
      </c>
      <c r="G11" s="8" t="s">
        <v>59</v>
      </c>
      <c r="H11" s="19">
        <f t="shared" si="0"/>
        <v>1.5135612484362051E-5</v>
      </c>
      <c r="I11" s="7" t="s">
        <v>51</v>
      </c>
      <c r="K11" s="8" t="s">
        <v>60</v>
      </c>
      <c r="L11" s="16">
        <v>0</v>
      </c>
      <c r="M11" s="7" t="s">
        <v>46</v>
      </c>
      <c r="N11" s="7"/>
      <c r="O11" s="8" t="s">
        <v>60</v>
      </c>
      <c r="P11" s="16">
        <v>0</v>
      </c>
      <c r="Q11" s="7" t="s">
        <v>46</v>
      </c>
      <c r="S11" s="8" t="s">
        <v>61</v>
      </c>
      <c r="T11" s="25">
        <f>(L29*$H$4/1000+P29*($H$2+$H$3)/1000)/($H$2+$H$3+$H$4)*1000</f>
        <v>0</v>
      </c>
      <c r="U11" s="18" t="str">
        <f>CONCATENATE("batch_pro_f.Xch1_restart = (open.X_ch[1]*batch_pro_f.V_inoculum+",T11,"*batch_pro_f.V_add)/batch_pro_f.V_liq;")</f>
        <v>batch_pro_f.Xch1_restart = (open.X_ch[1]*batch_pro_f.V_inoculum+0*batch_pro_f.V_add)/batch_pro_f.V_liq;</v>
      </c>
    </row>
    <row r="12" spans="1:21" ht="18" customHeight="1" x14ac:dyDescent="0.3">
      <c r="A12" s="8" t="s">
        <v>62</v>
      </c>
      <c r="B12" s="17">
        <v>102</v>
      </c>
      <c r="C12" s="7" t="s">
        <v>49</v>
      </c>
      <c r="G12" s="8" t="s">
        <v>63</v>
      </c>
      <c r="H12" s="19">
        <f t="shared" si="0"/>
        <v>1.3803842646028827E-5</v>
      </c>
      <c r="I12" s="7" t="s">
        <v>51</v>
      </c>
      <c r="K12" s="8" t="s">
        <v>64</v>
      </c>
      <c r="L12" s="15">
        <v>0</v>
      </c>
      <c r="M12" s="7" t="s">
        <v>65</v>
      </c>
      <c r="N12" s="7"/>
      <c r="O12" s="8" t="s">
        <v>64</v>
      </c>
      <c r="P12" s="15">
        <v>0</v>
      </c>
      <c r="Q12" s="7" t="s">
        <v>65</v>
      </c>
      <c r="S12" s="8" t="s">
        <v>66</v>
      </c>
      <c r="T12" s="25">
        <f t="shared" ref="T12:T15" si="1">(L30*$H$4/1000+P30*($H$2+$H$3)/1000)/($H$2+$H$3+$H$4)*1000</f>
        <v>0</v>
      </c>
      <c r="U12" s="18" t="str">
        <f>CONCATENATE("batch_pro_f.Xch2_restart = (open.X_ch[2]*batch_pro_f.V_inoculum+",T12,"*batch_pro_f.V_add)/batch_pro_f.V_liq;")</f>
        <v>batch_pro_f.Xch2_restart = (open.X_ch[2]*batch_pro_f.V_inoculum+0*batch_pro_f.V_add)/batch_pro_f.V_liq;</v>
      </c>
    </row>
    <row r="13" spans="1:21" ht="18" customHeight="1" x14ac:dyDescent="0.3">
      <c r="A13" s="8" t="s">
        <v>67</v>
      </c>
      <c r="B13" s="17">
        <v>100</v>
      </c>
      <c r="C13" s="7" t="s">
        <v>49</v>
      </c>
      <c r="G13" s="8" t="s">
        <v>68</v>
      </c>
      <c r="H13" s="19">
        <f t="shared" si="0"/>
        <v>4.4668359215096327E-7</v>
      </c>
      <c r="I13" s="7" t="s">
        <v>51</v>
      </c>
      <c r="K13" s="8" t="s">
        <v>69</v>
      </c>
      <c r="L13" s="15">
        <v>0</v>
      </c>
      <c r="M13" s="7" t="s">
        <v>70</v>
      </c>
      <c r="N13" s="7"/>
      <c r="O13" s="8" t="s">
        <v>69</v>
      </c>
      <c r="P13" s="15">
        <v>0</v>
      </c>
      <c r="Q13" s="7" t="s">
        <v>70</v>
      </c>
      <c r="S13" s="8" t="s">
        <v>71</v>
      </c>
      <c r="T13" s="25">
        <f t="shared" si="1"/>
        <v>0</v>
      </c>
      <c r="U13" s="18" t="str">
        <f>CONCATENATE("batch_pro_f.Xpr1_restart = (open.X_pr[1]*batch_pro_f.V_inoculum+",T13,"*batch_pro_f.V_add)/batch_pro_f.V_liq;")</f>
        <v>batch_pro_f.Xpr1_restart = (open.X_pr[1]*batch_pro_f.V_inoculum+0*batch_pro_f.V_add)/batch_pro_f.V_liq;</v>
      </c>
    </row>
    <row r="14" spans="1:21" ht="18" customHeight="1" x14ac:dyDescent="0.3">
      <c r="A14" s="8" t="s">
        <v>72</v>
      </c>
      <c r="B14" s="17">
        <v>60</v>
      </c>
      <c r="C14" s="7" t="s">
        <v>49</v>
      </c>
      <c r="G14" s="8" t="s">
        <v>73</v>
      </c>
      <c r="H14" s="19">
        <f t="shared" si="0"/>
        <v>5.6234132519034889E-10</v>
      </c>
      <c r="I14" s="7" t="s">
        <v>51</v>
      </c>
      <c r="K14" s="8" t="s">
        <v>74</v>
      </c>
      <c r="L14" s="15">
        <v>7</v>
      </c>
      <c r="M14" s="7" t="s">
        <v>43</v>
      </c>
      <c r="N14" s="7"/>
      <c r="O14" s="8" t="s">
        <v>74</v>
      </c>
      <c r="P14" s="15">
        <v>7.6</v>
      </c>
      <c r="Q14" s="7" t="s">
        <v>43</v>
      </c>
      <c r="S14" s="8" t="s">
        <v>75</v>
      </c>
      <c r="T14" s="25">
        <f t="shared" si="1"/>
        <v>0</v>
      </c>
      <c r="U14" s="18" t="str">
        <f>CONCATENATE("batch_pro_f.Xpr2_restart = (open.X_pr[2]*batch_pro_f.V_inoculum+",T14,"*batch_pro_f.V_add)/batch_pro_f.V_liq;")</f>
        <v>batch_pro_f.Xpr2_restart = (open.X_pr[2]*batch_pro_f.V_inoculum+0*batch_pro_f.V_add)/batch_pro_f.V_liq;</v>
      </c>
    </row>
    <row r="15" spans="1:21" ht="18" customHeight="1" x14ac:dyDescent="0.3">
      <c r="A15" s="8" t="s">
        <v>76</v>
      </c>
      <c r="B15" s="17">
        <v>14</v>
      </c>
      <c r="C15" s="7" t="s">
        <v>49</v>
      </c>
      <c r="G15" s="8" t="s">
        <v>77</v>
      </c>
      <c r="H15" s="19">
        <f t="shared" si="0"/>
        <v>2.1379620895022253E-13</v>
      </c>
      <c r="I15" s="7" t="s">
        <v>51</v>
      </c>
      <c r="K15" s="8" t="s">
        <v>78</v>
      </c>
      <c r="L15" s="15">
        <v>0</v>
      </c>
      <c r="M15" s="7" t="s">
        <v>79</v>
      </c>
      <c r="N15" s="7"/>
      <c r="O15" s="8" t="s">
        <v>78</v>
      </c>
      <c r="P15" s="15">
        <v>404.4</v>
      </c>
      <c r="Q15" s="7" t="s">
        <v>79</v>
      </c>
      <c r="S15" s="8" t="s">
        <v>80</v>
      </c>
      <c r="T15" s="25">
        <f t="shared" si="1"/>
        <v>0</v>
      </c>
      <c r="U15" s="18" t="str">
        <f>CONCATENATE("batch_pro_f.Xli_restart = (open.X_li*batch_pro_f.V_inoculum+",T15,"*batch_pro_f.V_add)/batch_pro_f.V_liq;")</f>
        <v>batch_pro_f.Xli_restart = (open.X_li*batch_pro_f.V_inoculum+0*batch_pro_f.V_add)/batch_pro_f.V_liq;</v>
      </c>
    </row>
    <row r="16" spans="1:21" ht="18" customHeight="1" x14ac:dyDescent="0.3">
      <c r="A16" s="8" t="s">
        <v>81</v>
      </c>
      <c r="B16" s="17">
        <v>31</v>
      </c>
      <c r="C16" s="7" t="s">
        <v>49</v>
      </c>
      <c r="G16" s="8" t="s">
        <v>82</v>
      </c>
      <c r="H16" s="19">
        <f t="shared" si="0"/>
        <v>6.1659500186148087E-8</v>
      </c>
      <c r="I16" s="7" t="s">
        <v>51</v>
      </c>
      <c r="K16" s="8" t="s">
        <v>83</v>
      </c>
      <c r="L16" s="15">
        <v>0</v>
      </c>
      <c r="M16" s="7" t="s">
        <v>43</v>
      </c>
      <c r="N16" s="7"/>
      <c r="O16" s="8" t="s">
        <v>83</v>
      </c>
      <c r="P16" s="15">
        <v>0</v>
      </c>
      <c r="Q16" s="7" t="s">
        <v>43</v>
      </c>
      <c r="S16" s="8" t="s">
        <v>84</v>
      </c>
      <c r="T16" s="7">
        <v>0</v>
      </c>
      <c r="U16" s="18" t="str">
        <f>CONCATENATE("batch_pro_f.Xp_restart = (open.X_p*batch_pro_f.V_inoculum+",T16,"*batch_pro_f.V_add)/batch_pro_f.V_liq;")</f>
        <v>batch_pro_f.Xp_restart = (open.X_p*batch_pro_f.V_inoculum+0*batch_pro_f.V_add)/batch_pro_f.V_liq;</v>
      </c>
    </row>
    <row r="17" spans="1:21" ht="18" customHeight="1" x14ac:dyDescent="0.3">
      <c r="A17" s="8" t="s">
        <v>85</v>
      </c>
      <c r="B17" s="17">
        <v>4.76</v>
      </c>
      <c r="C17" s="7" t="s">
        <v>43</v>
      </c>
      <c r="G17" s="8" t="s">
        <v>86</v>
      </c>
      <c r="H17" s="19">
        <f t="shared" si="0"/>
        <v>7.5857757502918299E-3</v>
      </c>
      <c r="I17" s="7" t="s">
        <v>51</v>
      </c>
      <c r="K17" s="8" t="s">
        <v>87</v>
      </c>
      <c r="L17" s="15">
        <v>0</v>
      </c>
      <c r="M17" s="7" t="s">
        <v>43</v>
      </c>
      <c r="N17" s="7"/>
      <c r="O17" s="8" t="s">
        <v>87</v>
      </c>
      <c r="P17" s="15">
        <v>0</v>
      </c>
      <c r="Q17" s="7" t="s">
        <v>43</v>
      </c>
      <c r="S17" s="8" t="s">
        <v>88</v>
      </c>
      <c r="T17" s="7">
        <v>0</v>
      </c>
      <c r="U17" s="18" t="str">
        <f>CONCATENATE("batch_pro_f.Si_restart = (open.S_i*batch_pro_f.V_inoculum+",T17,"*batch_pro_f.V_add)/batch_pro_f.V_liq;")</f>
        <v>batch_pro_f.Si_restart = (open.S_i*batch_pro_f.V_inoculum+0*batch_pro_f.V_add)/batch_pro_f.V_liq;</v>
      </c>
    </row>
    <row r="18" spans="1:21" ht="18" customHeight="1" x14ac:dyDescent="0.3">
      <c r="A18" s="8" t="s">
        <v>89</v>
      </c>
      <c r="B18" s="17">
        <v>4.88</v>
      </c>
      <c r="C18" s="7" t="s">
        <v>43</v>
      </c>
      <c r="G18" s="8" t="s">
        <v>90</v>
      </c>
      <c r="H18" s="19">
        <f t="shared" si="0"/>
        <v>1E-14</v>
      </c>
      <c r="I18" s="7" t="s">
        <v>91</v>
      </c>
      <c r="K18" s="8" t="s">
        <v>92</v>
      </c>
      <c r="L18" s="15">
        <v>0</v>
      </c>
      <c r="M18" s="7" t="s">
        <v>43</v>
      </c>
      <c r="N18" s="7"/>
      <c r="O18" s="8" t="s">
        <v>92</v>
      </c>
      <c r="P18" s="15">
        <v>0</v>
      </c>
      <c r="Q18" s="7" t="s">
        <v>43</v>
      </c>
      <c r="S18" s="8" t="s">
        <v>93</v>
      </c>
      <c r="T18" s="7">
        <v>0</v>
      </c>
      <c r="U18" s="18" t="str">
        <f>CONCATENATE("batch_pro_f.Ssu_restart = (open.S_su*batch_pro_f.V_inoculum+",T18,"*batch_pro_f.V_add)/batch_pro_f.V_liq;")</f>
        <v>batch_pro_f.Ssu_restart = (open.S_su*batch_pro_f.V_inoculum+0*batch_pro_f.V_add)/batch_pro_f.V_liq;</v>
      </c>
    </row>
    <row r="19" spans="1:21" ht="18" customHeight="1" x14ac:dyDescent="0.3">
      <c r="A19" s="8" t="s">
        <v>94</v>
      </c>
      <c r="B19" s="17">
        <v>4.82</v>
      </c>
      <c r="C19" s="7" t="s">
        <v>43</v>
      </c>
      <c r="K19" s="8" t="s">
        <v>95</v>
      </c>
      <c r="L19" s="15">
        <v>0</v>
      </c>
      <c r="M19" s="7" t="s">
        <v>43</v>
      </c>
      <c r="N19" s="7"/>
      <c r="O19" s="8" t="s">
        <v>95</v>
      </c>
      <c r="P19" s="15">
        <v>0</v>
      </c>
      <c r="Q19" s="7" t="s">
        <v>43</v>
      </c>
      <c r="S19" s="8" t="s">
        <v>93</v>
      </c>
      <c r="T19" s="7">
        <v>0</v>
      </c>
      <c r="U19" s="18" t="str">
        <f>CONCATENATE("batch_pro_f.Saa_restart = (open.S_aa*batch_pro_f.V_inoculum+",T19,"*batch_pro_f.V_add)/batch_pro_f.V_liq;")</f>
        <v>batch_pro_f.Saa_restart = (open.S_aa*batch_pro_f.V_inoculum+0*batch_pro_f.V_add)/batch_pro_f.V_liq;</v>
      </c>
    </row>
    <row r="20" spans="1:21" ht="18" customHeight="1" x14ac:dyDescent="0.3">
      <c r="A20" s="8" t="s">
        <v>96</v>
      </c>
      <c r="B20" s="17">
        <v>4.8600000000000003</v>
      </c>
      <c r="C20" s="7" t="s">
        <v>43</v>
      </c>
      <c r="K20" s="8" t="s">
        <v>97</v>
      </c>
      <c r="L20" s="15">
        <v>0</v>
      </c>
      <c r="M20" s="7" t="s">
        <v>43</v>
      </c>
      <c r="N20" s="7"/>
      <c r="O20" s="8" t="s">
        <v>97</v>
      </c>
      <c r="P20" s="15">
        <v>0</v>
      </c>
      <c r="Q20" s="7" t="s">
        <v>43</v>
      </c>
      <c r="S20" s="8" t="s">
        <v>98</v>
      </c>
      <c r="T20" s="7">
        <v>0</v>
      </c>
      <c r="U20" s="18" t="str">
        <f>CONCATENATE("batch_pro_f.Sfa_restart = (open.S_fa*batch_pro_f.V_inoculum+",T20,"*batch_pro_f.V_add)/batch_pro_f.V_liq;")</f>
        <v>batch_pro_f.Sfa_restart = (open.S_fa*batch_pro_f.V_inoculum+0*batch_pro_f.V_add)/batch_pro_f.V_liq;</v>
      </c>
    </row>
    <row r="21" spans="1:21" ht="18" customHeight="1" x14ac:dyDescent="0.3">
      <c r="A21" s="8" t="s">
        <v>99</v>
      </c>
      <c r="B21" s="17">
        <v>6.35</v>
      </c>
      <c r="C21" s="7" t="s">
        <v>43</v>
      </c>
      <c r="K21" s="7"/>
      <c r="L21" s="7"/>
      <c r="M21" s="7"/>
      <c r="N21" s="7"/>
      <c r="O21" s="7"/>
      <c r="P21" s="7"/>
      <c r="S21" s="8" t="s">
        <v>100</v>
      </c>
      <c r="T21" s="25">
        <f>(L11*$H$4/1000+P11*($H$2+$H$3)/1000)/($H$2+$H$3+$H$4)*1000</f>
        <v>0</v>
      </c>
      <c r="U21" s="18" t="str">
        <f>CONCATENATE("batch_pro_f.Sva_restart = (open.S_va*batch_pro_f.V_inoculum+",T21,"*batch_pro_f.V_add)/batch_pro_f.V_liq;")</f>
        <v>batch_pro_f.Sva_restart = (open.S_va*batch_pro_f.V_inoculum+0*batch_pro_f.V_add)/batch_pro_f.V_liq;</v>
      </c>
    </row>
    <row r="22" spans="1:21" ht="18" customHeight="1" x14ac:dyDescent="0.3">
      <c r="A22" s="8" t="s">
        <v>101</v>
      </c>
      <c r="B22" s="17">
        <v>9.25</v>
      </c>
      <c r="C22" s="7" t="s">
        <v>43</v>
      </c>
      <c r="K22" s="36" t="s">
        <v>102</v>
      </c>
      <c r="L22" s="36"/>
      <c r="M22" s="36"/>
      <c r="N22" s="7"/>
      <c r="O22" s="36" t="s">
        <v>103</v>
      </c>
      <c r="P22" s="36"/>
      <c r="Q22" s="36"/>
      <c r="S22" s="8" t="s">
        <v>104</v>
      </c>
      <c r="T22" s="25">
        <f>(L10*$H$4/1000+P10*($H$2+$H$3)/1000)/($H$2+$H$3+$H$4)*1000</f>
        <v>0</v>
      </c>
      <c r="U22" s="18" t="str">
        <f>CONCATENATE("batch_pro_f.Sbu_restart = (open.S_bu*batch_pro_f.V_inoculum+",T22,"*batch_pro_f.V_add)/batch_pro_f.V_liq;")</f>
        <v>batch_pro_f.Sbu_restart = (open.S_bu*batch_pro_f.V_inoculum+0*batch_pro_f.V_add)/batch_pro_f.V_liq;</v>
      </c>
    </row>
    <row r="23" spans="1:21" ht="18" customHeight="1" x14ac:dyDescent="0.3">
      <c r="A23" s="8" t="s">
        <v>105</v>
      </c>
      <c r="B23" s="17">
        <v>12.67</v>
      </c>
      <c r="C23" s="7" t="s">
        <v>43</v>
      </c>
      <c r="E23" s="7"/>
      <c r="F23" s="7"/>
      <c r="G23" s="7"/>
      <c r="H23" s="7"/>
      <c r="I23" s="7"/>
      <c r="K23" s="8" t="s">
        <v>106</v>
      </c>
      <c r="L23" s="13">
        <f>$L$5*$L$3*$L$4/1000/1000*$B$2</f>
        <v>0</v>
      </c>
      <c r="M23" s="7" t="s">
        <v>107</v>
      </c>
      <c r="N23" s="7"/>
      <c r="O23" s="8" t="s">
        <v>106</v>
      </c>
      <c r="P23" s="13">
        <f>$P$5*$P$3*$P$4/1000/1000*$B$2</f>
        <v>0</v>
      </c>
      <c r="Q23" s="7" t="s">
        <v>107</v>
      </c>
      <c r="S23" s="8" t="s">
        <v>108</v>
      </c>
      <c r="T23" s="25">
        <f>(L9*$H$4/1000+P9*($H$2+$H$3)/1000)/($H$2+$H$3+$H$4)*1000</f>
        <v>1.5271149674620388</v>
      </c>
      <c r="U23" s="18" t="str">
        <f>CONCATENATE("batch_pro_f.Spro_restart = (open.S_pro*batch_pro_f.V_inoculum+",T23,"*batch_pro_f.V_add)/batch_pro_f.V_liq;")</f>
        <v>batch_pro_f.Spro_restart = (open.S_pro*batch_pro_f.V_inoculum+1.52711496746204*batch_pro_f.V_add)/batch_pro_f.V_liq;</v>
      </c>
    </row>
    <row r="24" spans="1:21" ht="18" customHeight="1" x14ac:dyDescent="0.3">
      <c r="A24" s="8" t="s">
        <v>109</v>
      </c>
      <c r="B24" s="17">
        <v>7.21</v>
      </c>
      <c r="C24" s="7" t="s">
        <v>43</v>
      </c>
      <c r="E24" s="7"/>
      <c r="F24" s="7"/>
      <c r="G24" s="7"/>
      <c r="H24" s="7"/>
      <c r="I24" s="7"/>
      <c r="K24" s="8" t="s">
        <v>110</v>
      </c>
      <c r="L24" s="13">
        <f>$L$6*L3*$L$4/1000/1000*B4*B5</f>
        <v>0</v>
      </c>
      <c r="M24" s="7" t="s">
        <v>107</v>
      </c>
      <c r="N24" s="7"/>
      <c r="O24" s="8" t="s">
        <v>110</v>
      </c>
      <c r="P24" s="13">
        <f>$P$6*P3*$P$4/1000/1000*B4*B5</f>
        <v>0</v>
      </c>
      <c r="Q24" s="7" t="s">
        <v>107</v>
      </c>
      <c r="S24" s="8" t="s">
        <v>111</v>
      </c>
      <c r="T24" s="25">
        <f>(L8*$H$4/1000+P8*($H$2+$H$3)/1000)/($H$2+$H$3+$H$4)*1000</f>
        <v>0</v>
      </c>
      <c r="U24" s="18" t="str">
        <f>CONCATENATE("batch_pro_f.Sac_restart = (open.S_ac*batch_pro_f.V_inoculum+",T24,"*batch_pro_f.V_add)/batch_pro_f.V_liq;")</f>
        <v>batch_pro_f.Sac_restart = (open.S_ac*batch_pro_f.V_inoculum+0*batch_pro_f.V_add)/batch_pro_f.V_liq;</v>
      </c>
    </row>
    <row r="25" spans="1:21" ht="18" customHeight="1" x14ac:dyDescent="0.3">
      <c r="A25" s="8" t="s">
        <v>112</v>
      </c>
      <c r="B25" s="17">
        <v>2.12</v>
      </c>
      <c r="C25" s="7" t="s">
        <v>43</v>
      </c>
      <c r="E25" s="7"/>
      <c r="F25" s="7"/>
      <c r="G25" s="7"/>
      <c r="H25" s="7"/>
      <c r="I25" s="7"/>
      <c r="K25" s="8" t="s">
        <v>113</v>
      </c>
      <c r="L25" s="13">
        <f>$L$7*L3*$L$4/1000/1000*B6</f>
        <v>0</v>
      </c>
      <c r="M25" s="7" t="s">
        <v>107</v>
      </c>
      <c r="N25" s="7"/>
      <c r="O25" s="8" t="s">
        <v>113</v>
      </c>
      <c r="P25" s="13">
        <f>$P$7*P3*$P$4/1000/1000*B6</f>
        <v>0</v>
      </c>
      <c r="Q25" s="7" t="s">
        <v>107</v>
      </c>
      <c r="S25" s="8" t="s">
        <v>114</v>
      </c>
      <c r="T25" s="7">
        <v>0</v>
      </c>
      <c r="U25" s="18" t="str">
        <f>CONCATENATE("batch_pro_f.Sh2_restart = (open.S_h2*batch_pro_f.V_inoculum+",T25,"*batch_pro_f.V_add)/batch_pro_f.V_liq;")</f>
        <v>batch_pro_f.Sh2_restart = (open.S_h2*batch_pro_f.V_inoculum+0*batch_pro_f.V_add)/batch_pro_f.V_liq;</v>
      </c>
    </row>
    <row r="26" spans="1:21" ht="18" customHeight="1" x14ac:dyDescent="0.3">
      <c r="A26" s="8" t="s">
        <v>115</v>
      </c>
      <c r="B26" s="17">
        <v>14</v>
      </c>
      <c r="C26" s="7" t="s">
        <v>43</v>
      </c>
      <c r="E26" s="7"/>
      <c r="F26" s="7"/>
      <c r="G26" s="7"/>
      <c r="H26" s="7"/>
      <c r="I26" s="7"/>
      <c r="K26" s="8" t="s">
        <v>116</v>
      </c>
      <c r="L26" s="13">
        <f>IF(L3=0,0,SUM(L23:L25,L8:L11))</f>
        <v>0</v>
      </c>
      <c r="M26" s="7" t="s">
        <v>107</v>
      </c>
      <c r="N26" s="7"/>
      <c r="O26" s="8" t="s">
        <v>116</v>
      </c>
      <c r="P26" s="13">
        <f>IF(P3=0,0,SUM(P23:P25,P8:P11))</f>
        <v>0</v>
      </c>
      <c r="Q26" s="7" t="s">
        <v>107</v>
      </c>
      <c r="S26" s="8" t="s">
        <v>117</v>
      </c>
      <c r="T26" s="7">
        <v>0</v>
      </c>
      <c r="U26" s="18" t="str">
        <f>CONCATENATE("batch_pro_f.Sch4_restart = (open.S_ch4*batch_pro_f.V_inoculum+",T26,"*batch_pro_f.V_add)/batch_pro_f.V_liq;")</f>
        <v>batch_pro_f.Sch4_restart = (open.S_ch4*batch_pro_f.V_inoculum+0*batch_pro_f.V_add)/batch_pro_f.V_liq;</v>
      </c>
    </row>
    <row r="27" spans="1:21" ht="18" customHeight="1" x14ac:dyDescent="0.3">
      <c r="A27" s="8" t="s">
        <v>118</v>
      </c>
      <c r="B27" s="17">
        <v>64</v>
      </c>
      <c r="C27" s="7" t="s">
        <v>119</v>
      </c>
      <c r="E27" s="7"/>
      <c r="F27" s="7"/>
      <c r="G27" s="7"/>
      <c r="H27" s="7"/>
      <c r="I27" s="7"/>
      <c r="K27" s="8" t="s">
        <v>120</v>
      </c>
      <c r="L27" s="13">
        <f>IF(L3=0,0,$L$2*$L$3*$L$4/1000/$L$26/(350*(1-$B$8)))</f>
        <v>0</v>
      </c>
      <c r="M27" s="7" t="s">
        <v>43</v>
      </c>
      <c r="N27" s="7"/>
      <c r="O27" s="8" t="s">
        <v>120</v>
      </c>
      <c r="P27" s="13">
        <f>IF(P3=0,0,$P$2*$P$3*$P$4/1000/$P$26/(350*(1-$B$8)))</f>
        <v>0</v>
      </c>
      <c r="Q27" s="7" t="s">
        <v>43</v>
      </c>
      <c r="S27" s="8" t="s">
        <v>121</v>
      </c>
      <c r="T27" s="25">
        <f>IF(L15=0,(P54*($H$2+$H$3)/1000)/($H$2+$H$3+$H$4)*1000,(L54*$H$4/1000+P54*($H$2+$H$3)/1000)/($H$2+$H$3+$H$4)*1000)</f>
        <v>8.394186005374716E-3</v>
      </c>
      <c r="U27" s="18" t="str">
        <f>CONCATENATE("batch_pro_f.Sic_restart = (open.S_ic*batch_pro_f.V_inoculum+",T27,"*batch_pro_f.V_add)/batch_pro_f.V_liq;")</f>
        <v>batch_pro_f.Sic_restart = (open.S_ic*batch_pro_f.V_inoculum+0.00839418600537472*batch_pro_f.V_add)/batch_pro_f.V_liq;</v>
      </c>
    </row>
    <row r="28" spans="1:21" ht="18" customHeight="1" x14ac:dyDescent="0.3">
      <c r="A28" s="8" t="s">
        <v>122</v>
      </c>
      <c r="B28" s="17">
        <v>112</v>
      </c>
      <c r="C28" s="7" t="s">
        <v>119</v>
      </c>
      <c r="E28" s="7"/>
      <c r="F28" s="7"/>
      <c r="G28" s="7"/>
      <c r="H28" s="7"/>
      <c r="I28" s="7"/>
      <c r="K28" s="8" t="s">
        <v>57</v>
      </c>
      <c r="L28" s="26">
        <f>(1-$L$27)*$L$26</f>
        <v>0</v>
      </c>
      <c r="M28" s="7" t="s">
        <v>107</v>
      </c>
      <c r="O28" s="8" t="s">
        <v>57</v>
      </c>
      <c r="P28" s="26">
        <f>(1-$P$27)*$P$26</f>
        <v>0</v>
      </c>
      <c r="Q28" s="7" t="s">
        <v>107</v>
      </c>
      <c r="S28" s="22" t="s">
        <v>123</v>
      </c>
      <c r="T28" s="30">
        <f>(L44*$H$4/1000+P44*($H$2+$H$3)/1000)/($H$2+$H$3+$H$4)*1000</f>
        <v>0</v>
      </c>
      <c r="U28" s="18" t="str">
        <f>CONCATENATE("batch_pro_f.Sin_restart = (open.S_in*batch_pro_f.V_inoculum+",T28,"*batch_pro_f.V_add)/batch_pro_f.V_liq;")</f>
        <v>batch_pro_f.Sin_restart = (open.S_in*batch_pro_f.V_inoculum+0*batch_pro_f.V_add)/batch_pro_f.V_liq;</v>
      </c>
    </row>
    <row r="29" spans="1:21" ht="18" customHeight="1" x14ac:dyDescent="0.3">
      <c r="A29" s="8" t="s">
        <v>124</v>
      </c>
      <c r="B29" s="17">
        <v>160</v>
      </c>
      <c r="C29" s="7" t="s">
        <v>119</v>
      </c>
      <c r="E29" s="7"/>
      <c r="F29" s="7"/>
      <c r="G29" s="7"/>
      <c r="H29" s="7"/>
      <c r="I29" s="7"/>
      <c r="K29" s="8" t="s">
        <v>61</v>
      </c>
      <c r="L29" s="26">
        <f>(1-$L$19)*($L$23-$L$28*$L$16)</f>
        <v>0</v>
      </c>
      <c r="M29" s="7" t="s">
        <v>107</v>
      </c>
      <c r="O29" s="8" t="s">
        <v>61</v>
      </c>
      <c r="P29" s="26">
        <f>(1-$P$19)*($P$23-$P$28*$P$16)</f>
        <v>0</v>
      </c>
      <c r="Q29" s="7" t="s">
        <v>107</v>
      </c>
      <c r="S29" s="8" t="s">
        <v>125</v>
      </c>
      <c r="T29" s="30">
        <f>(L47*$H$4/1000+P47*($H$2+$H$3)/1000)/($H$2+$H$3+$H$4)*1000</f>
        <v>0</v>
      </c>
      <c r="U29" s="18" t="str">
        <f>CONCATENATE("batch_pro_f.Sip_restart = (open.S_ip*batch_pro_f.V_inoculum+",T29,"*batch_pro_f.V_add)/batch_pro_f.V_liq;")</f>
        <v>batch_pro_f.Sip_restart = (open.S_ip*batch_pro_f.V_inoculum+0*batch_pro_f.V_add)/batch_pro_f.V_liq;</v>
      </c>
    </row>
    <row r="30" spans="1:21" ht="18" customHeight="1" x14ac:dyDescent="0.3">
      <c r="A30" s="8" t="s">
        <v>126</v>
      </c>
      <c r="B30" s="17">
        <v>208</v>
      </c>
      <c r="C30" s="7" t="s">
        <v>119</v>
      </c>
      <c r="K30" s="8" t="s">
        <v>66</v>
      </c>
      <c r="L30" s="26">
        <f>($L$19)*($L$23-$L$28*$L$16)</f>
        <v>0</v>
      </c>
      <c r="M30" s="7" t="s">
        <v>107</v>
      </c>
      <c r="O30" s="8" t="s">
        <v>66</v>
      </c>
      <c r="P30" s="26">
        <f>($P$19)*($P$23-$P$28*$P$16)</f>
        <v>0</v>
      </c>
      <c r="Q30" s="7" t="s">
        <v>107</v>
      </c>
      <c r="S30" s="8" t="s">
        <v>127</v>
      </c>
      <c r="T30" s="25">
        <f>N80</f>
        <v>6.1458103336465349E-2</v>
      </c>
      <c r="U30" s="18" t="str">
        <f>CONCATENATE("batch_pro_f.Scat_restart = (open.S_cat*batch_pro_f.V_inoculum+",T30,"*batch_pro_f.V_add)/batch_pro_f.V_liq;")</f>
        <v>batch_pro_f.Scat_restart = (open.S_cat*batch_pro_f.V_inoculum+0.0614581033364653*batch_pro_f.V_add)/batch_pro_f.V_liq;</v>
      </c>
    </row>
    <row r="31" spans="1:21" ht="18" customHeight="1" x14ac:dyDescent="0.3">
      <c r="K31" s="8" t="s">
        <v>71</v>
      </c>
      <c r="L31" s="26">
        <f>(1-$L$20)*($L$24-$L$28*$L$17)</f>
        <v>0</v>
      </c>
      <c r="M31" s="7" t="s">
        <v>107</v>
      </c>
      <c r="O31" s="8" t="s">
        <v>71</v>
      </c>
      <c r="P31" s="26">
        <f>(1-$P$20)*($P$24-$P$28*$P$17)</f>
        <v>0</v>
      </c>
      <c r="Q31" s="7" t="s">
        <v>107</v>
      </c>
      <c r="S31" s="8" t="s">
        <v>128</v>
      </c>
      <c r="T31" s="30">
        <v>0</v>
      </c>
      <c r="U31" s="18" t="str">
        <f>CONCATENATE("batch_pro_f.Sca_restart = (open.S_ca*batch_pro_f.V_inoculum+",T31,"*batch_pro_f.V_add)/batch_pro_f.V_liq;")</f>
        <v>batch_pro_f.Sca_restart = (open.S_ca*batch_pro_f.V_inoculum+0*batch_pro_f.V_add)/batch_pro_f.V_liq;</v>
      </c>
    </row>
    <row r="32" spans="1:21" ht="18" customHeight="1" x14ac:dyDescent="0.3">
      <c r="K32" s="8" t="s">
        <v>75</v>
      </c>
      <c r="L32" s="26">
        <f>($L$20)*($L$24-$L$28*$L$17)</f>
        <v>0</v>
      </c>
      <c r="M32" s="7" t="s">
        <v>107</v>
      </c>
      <c r="O32" s="8" t="s">
        <v>75</v>
      </c>
      <c r="P32" s="26">
        <f>($P$20)*($P$24-$P$28*$P$17)</f>
        <v>0</v>
      </c>
      <c r="Q32" s="7" t="s">
        <v>107</v>
      </c>
      <c r="S32" s="8" t="s">
        <v>129</v>
      </c>
      <c r="T32" s="30">
        <v>0</v>
      </c>
      <c r="U32" s="18" t="str">
        <f>CONCATENATE("batch_pro_f.Smg_restart = (open.S_mg*batch_pro_f.V_inoculum+",T32,"*batch_pro_f.V_add)/batch_pro_f.V_liq;")</f>
        <v>batch_pro_f.Smg_restart = (open.S_mg*batch_pro_f.V_inoculum+0*batch_pro_f.V_add)/batch_pro_f.V_liq;</v>
      </c>
    </row>
    <row r="33" spans="1:21" ht="18" customHeight="1" x14ac:dyDescent="0.3">
      <c r="K33" s="8" t="s">
        <v>80</v>
      </c>
      <c r="L33" s="26">
        <f>($L$25-$L$28*$L$18)</f>
        <v>0</v>
      </c>
      <c r="M33" s="7" t="s">
        <v>107</v>
      </c>
      <c r="O33" s="8" t="s">
        <v>80</v>
      </c>
      <c r="P33" s="26">
        <f>($P$25-$P$28*$P$18)</f>
        <v>0</v>
      </c>
      <c r="Q33" s="7" t="s">
        <v>107</v>
      </c>
      <c r="S33" s="8" t="s">
        <v>130</v>
      </c>
      <c r="T33" s="25">
        <f>N79</f>
        <v>0.04</v>
      </c>
      <c r="U33" s="18" t="str">
        <f>CONCATENATE("batch_pro_f.San_restart = (open.S_an*batch_pro_f.V_inoculum+",T33,"*batch_pro_f.V_add)/batch_pro_f.V_liq;")</f>
        <v>batch_pro_f.San_restart = (open.S_an*batch_pro_f.V_inoculum+0.04*batch_pro_f.V_add)/batch_pro_f.V_liq;</v>
      </c>
    </row>
    <row r="34" spans="1:21" ht="18" customHeight="1" x14ac:dyDescent="0.3">
      <c r="K34" s="8" t="s">
        <v>100</v>
      </c>
      <c r="L34" s="13">
        <f>L11</f>
        <v>0</v>
      </c>
      <c r="M34" s="7" t="s">
        <v>107</v>
      </c>
      <c r="O34" s="8" t="s">
        <v>100</v>
      </c>
      <c r="P34" s="13">
        <f>P11</f>
        <v>0</v>
      </c>
      <c r="Q34" s="7" t="s">
        <v>107</v>
      </c>
      <c r="S34" s="8" t="s">
        <v>131</v>
      </c>
      <c r="T34" s="30">
        <v>0</v>
      </c>
      <c r="U34" s="18" t="str">
        <f>CONCATENATE("batch_pro_f.ash_restart = (open.ash*batch_pro_f.V_inoculum+",T34,"*batch_pro_f.V_add)/batch_pro_f.V_liq;")</f>
        <v>batch_pro_f.ash_restart = (open.ash*batch_pro_f.V_inoculum+0*batch_pro_f.V_add)/batch_pro_f.V_liq;</v>
      </c>
    </row>
    <row r="35" spans="1:21" ht="18" customHeight="1" x14ac:dyDescent="0.3">
      <c r="A35" s="2"/>
      <c r="K35" s="8" t="s">
        <v>104</v>
      </c>
      <c r="L35" s="13">
        <f>L10</f>
        <v>0</v>
      </c>
      <c r="M35" s="7" t="s">
        <v>107</v>
      </c>
      <c r="O35" s="8" t="s">
        <v>104</v>
      </c>
      <c r="P35" s="13">
        <f>P10</f>
        <v>0</v>
      </c>
      <c r="Q35" s="7" t="s">
        <v>107</v>
      </c>
      <c r="S35" s="8" t="s">
        <v>132</v>
      </c>
      <c r="T35" s="30">
        <v>0</v>
      </c>
      <c r="U35" s="18" t="str">
        <f>CONCATENATE("batch_pro_f.Xlig_restart = (open.X_lig*batch_pro_f.V_inoculum+",T35,"*batch_pro_f.V_add)/batch_pro_f.V_liq;")</f>
        <v>batch_pro_f.Xlig_restart = (open.X_lig*batch_pro_f.V_inoculum+0*batch_pro_f.V_add)/batch_pro_f.V_liq;</v>
      </c>
    </row>
    <row r="36" spans="1:21" ht="18" customHeight="1" x14ac:dyDescent="0.3">
      <c r="K36" s="8" t="s">
        <v>108</v>
      </c>
      <c r="L36" s="13">
        <f>L9</f>
        <v>88</v>
      </c>
      <c r="M36" s="7" t="s">
        <v>107</v>
      </c>
      <c r="O36" s="8" t="s">
        <v>108</v>
      </c>
      <c r="P36" s="13">
        <f>P9</f>
        <v>0</v>
      </c>
      <c r="Q36" s="7" t="s">
        <v>107</v>
      </c>
    </row>
    <row r="37" spans="1:21" ht="18" customHeight="1" x14ac:dyDescent="0.3">
      <c r="K37" s="8" t="s">
        <v>111</v>
      </c>
      <c r="L37" s="13">
        <f>L8</f>
        <v>0</v>
      </c>
      <c r="M37" s="7" t="s">
        <v>107</v>
      </c>
      <c r="O37" s="8" t="s">
        <v>111</v>
      </c>
      <c r="P37" s="13">
        <f>P8</f>
        <v>0</v>
      </c>
      <c r="Q37" s="7" t="s">
        <v>107</v>
      </c>
    </row>
    <row r="38" spans="1:21" ht="18" customHeight="1" x14ac:dyDescent="0.3">
      <c r="K38" s="2" t="s">
        <v>133</v>
      </c>
      <c r="L38" s="20">
        <f>IF(L14=0,0,(10^(-L14)))</f>
        <v>9.9999999999999995E-8</v>
      </c>
      <c r="M38" s="1" t="s">
        <v>51</v>
      </c>
      <c r="O38" s="2" t="s">
        <v>133</v>
      </c>
      <c r="P38" s="20">
        <f>IF(P14=0,0,(10^(-P14)))</f>
        <v>2.5118864315095751E-8</v>
      </c>
      <c r="Q38" s="1" t="s">
        <v>51</v>
      </c>
    </row>
    <row r="39" spans="1:21" ht="18" customHeight="1" x14ac:dyDescent="0.3">
      <c r="K39" s="2" t="s">
        <v>134</v>
      </c>
      <c r="L39" s="20">
        <f>IF(L14=0,0,$H$18/L38)</f>
        <v>1.0000000000000001E-7</v>
      </c>
      <c r="M39" s="1" t="s">
        <v>51</v>
      </c>
      <c r="O39" s="2" t="s">
        <v>134</v>
      </c>
      <c r="P39" s="20">
        <f>IF(P14=0,0,$H$18/P38)</f>
        <v>3.9810717055349803E-7</v>
      </c>
      <c r="Q39" s="1" t="s">
        <v>51</v>
      </c>
    </row>
    <row r="40" spans="1:21" ht="18" customHeight="1" x14ac:dyDescent="0.3">
      <c r="A40" s="8"/>
      <c r="K40" s="2" t="s">
        <v>135</v>
      </c>
      <c r="L40" s="20">
        <f>L8/$B$27*$H$9/(L38+$H$9)</f>
        <v>0</v>
      </c>
      <c r="M40" s="1" t="s">
        <v>51</v>
      </c>
      <c r="O40" s="2" t="s">
        <v>135</v>
      </c>
      <c r="P40" s="20">
        <f>P8/$B$27*$H$9/(P38+$H$9)</f>
        <v>0</v>
      </c>
      <c r="Q40" s="1" t="s">
        <v>51</v>
      </c>
    </row>
    <row r="41" spans="1:21" ht="18" customHeight="1" x14ac:dyDescent="0.3">
      <c r="K41" s="2" t="s">
        <v>136</v>
      </c>
      <c r="L41" s="20">
        <f>L9/$B$28*$H$10/(L38+$H$10)</f>
        <v>0.77979890608242153</v>
      </c>
      <c r="M41" s="1" t="s">
        <v>51</v>
      </c>
      <c r="O41" s="2" t="s">
        <v>136</v>
      </c>
      <c r="P41" s="20">
        <f>P9/$B$28*$H$10/(P38+$H$10)</f>
        <v>0</v>
      </c>
      <c r="Q41" s="1" t="s">
        <v>51</v>
      </c>
    </row>
    <row r="42" spans="1:21" ht="18" customHeight="1" x14ac:dyDescent="0.3">
      <c r="K42" s="2" t="s">
        <v>137</v>
      </c>
      <c r="L42" s="20">
        <f>L10/$B$29*$H$11/(L38+$H$11)</f>
        <v>0</v>
      </c>
      <c r="M42" s="1" t="s">
        <v>51</v>
      </c>
      <c r="O42" s="2" t="s">
        <v>137</v>
      </c>
      <c r="P42" s="20">
        <f>P10/$B$29*$H$11/(P38+$H$11)</f>
        <v>0</v>
      </c>
      <c r="Q42" s="1" t="s">
        <v>51</v>
      </c>
    </row>
    <row r="43" spans="1:21" ht="18" customHeight="1" x14ac:dyDescent="0.3">
      <c r="K43" s="2" t="s">
        <v>138</v>
      </c>
      <c r="L43" s="20">
        <f>L11/$B$30*$H$12/(L38+$H$12)</f>
        <v>0</v>
      </c>
      <c r="M43" s="1" t="s">
        <v>51</v>
      </c>
      <c r="O43" s="2" t="s">
        <v>138</v>
      </c>
      <c r="P43" s="20">
        <f>P11/$B$30*$H$12/(P38+$H$12)</f>
        <v>0</v>
      </c>
      <c r="Q43" s="1" t="s">
        <v>51</v>
      </c>
    </row>
    <row r="44" spans="1:21" ht="18" customHeight="1" x14ac:dyDescent="0.3">
      <c r="K44" s="2" t="s">
        <v>123</v>
      </c>
      <c r="L44" s="20">
        <f>L12/$B$15/1000</f>
        <v>0</v>
      </c>
      <c r="M44" s="1" t="s">
        <v>51</v>
      </c>
      <c r="O44" s="2" t="s">
        <v>123</v>
      </c>
      <c r="P44" s="20">
        <f>P12/$B$15/1000</f>
        <v>0</v>
      </c>
      <c r="Q44" s="1" t="s">
        <v>51</v>
      </c>
    </row>
    <row r="45" spans="1:21" ht="18" customHeight="1" x14ac:dyDescent="0.3">
      <c r="K45" s="2" t="s">
        <v>139</v>
      </c>
      <c r="L45" s="20">
        <f>L44*L38/($H$14+L38)</f>
        <v>0</v>
      </c>
      <c r="M45" s="1" t="s">
        <v>51</v>
      </c>
      <c r="O45" s="2" t="s">
        <v>139</v>
      </c>
      <c r="P45" s="20">
        <f>P44*P38/($H$14+P38)</f>
        <v>0</v>
      </c>
      <c r="Q45" s="1" t="s">
        <v>51</v>
      </c>
    </row>
    <row r="46" spans="1:21" ht="18" customHeight="1" x14ac:dyDescent="0.3">
      <c r="K46" s="2" t="s">
        <v>140</v>
      </c>
      <c r="L46" s="20">
        <f>L44-L45</f>
        <v>0</v>
      </c>
      <c r="M46" s="1" t="s">
        <v>51</v>
      </c>
      <c r="O46" s="2" t="s">
        <v>140</v>
      </c>
      <c r="P46" s="20">
        <f>P44-P45</f>
        <v>0</v>
      </c>
      <c r="Q46" s="1" t="s">
        <v>51</v>
      </c>
    </row>
    <row r="47" spans="1:21" ht="18" customHeight="1" x14ac:dyDescent="0.3">
      <c r="K47" s="2" t="s">
        <v>125</v>
      </c>
      <c r="L47" s="20">
        <f>L13/$B$16/1000</f>
        <v>0</v>
      </c>
      <c r="M47" s="6" t="s">
        <v>51</v>
      </c>
      <c r="O47" s="2" t="s">
        <v>125</v>
      </c>
      <c r="P47" s="20">
        <f>P13/$B$16/1000</f>
        <v>0</v>
      </c>
      <c r="Q47" s="6" t="s">
        <v>51</v>
      </c>
    </row>
    <row r="48" spans="1:21" ht="18" customHeight="1" x14ac:dyDescent="0.3">
      <c r="K48" s="2" t="s">
        <v>141</v>
      </c>
      <c r="L48" s="20">
        <f>$H$15*L47/($H$15+L38+L38^2/$H$16+L38^3/($H$16*$H$17))</f>
        <v>0</v>
      </c>
      <c r="M48" s="6" t="s">
        <v>51</v>
      </c>
      <c r="O48" s="2" t="s">
        <v>141</v>
      </c>
      <c r="P48" s="20">
        <f>$H$15*P47/($H$15+P38+P38^2/$H$16+P38^3/($H$16*$H$17))</f>
        <v>0</v>
      </c>
      <c r="Q48" s="6" t="s">
        <v>51</v>
      </c>
    </row>
    <row r="49" spans="11:17" ht="18" customHeight="1" x14ac:dyDescent="0.3">
      <c r="K49" s="2" t="s">
        <v>142</v>
      </c>
      <c r="L49" s="27">
        <f>$H$16*L47/($H$15*$H$16/L38+$H$16+L38+(L38^2)/$H$17)</f>
        <v>0</v>
      </c>
      <c r="M49" s="6" t="s">
        <v>51</v>
      </c>
      <c r="O49" s="2" t="s">
        <v>142</v>
      </c>
      <c r="P49" s="20">
        <f>$H$16*P47/($H$15*$H$16/P38+$H$16+P38+(P38^2)/$H$17)</f>
        <v>0</v>
      </c>
      <c r="Q49" s="6" t="s">
        <v>51</v>
      </c>
    </row>
    <row r="50" spans="11:17" ht="18" customHeight="1" x14ac:dyDescent="0.3">
      <c r="K50" s="2" t="s">
        <v>143</v>
      </c>
      <c r="L50" s="27">
        <f>L47*$H$17/(L38+$H$17+$H$17*$H$16/L38+$H$17*$H$16*$H$15/(L38^2))</f>
        <v>0</v>
      </c>
      <c r="M50" s="6" t="s">
        <v>51</v>
      </c>
      <c r="O50" s="2" t="s">
        <v>143</v>
      </c>
      <c r="P50" s="20">
        <f>P47*$H$17/(P38+$H$17+$H$17*$H$16/P38+$H$17*$H$16*$H$15/(P38^2))</f>
        <v>0</v>
      </c>
      <c r="Q50" s="6" t="s">
        <v>51</v>
      </c>
    </row>
    <row r="51" spans="11:17" ht="18" customHeight="1" x14ac:dyDescent="0.3">
      <c r="K51" s="2" t="s">
        <v>144</v>
      </c>
      <c r="L51" s="20">
        <f>L47-L48-L49-L50</f>
        <v>0</v>
      </c>
      <c r="M51" s="6" t="s">
        <v>51</v>
      </c>
      <c r="O51" s="2" t="s">
        <v>144</v>
      </c>
      <c r="P51" s="20">
        <f>P47-P48-P49-P50</f>
        <v>0</v>
      </c>
      <c r="Q51" s="6" t="s">
        <v>51</v>
      </c>
    </row>
    <row r="52" spans="11:17" ht="18" customHeight="1" x14ac:dyDescent="0.3">
      <c r="K52" s="2" t="s">
        <v>145</v>
      </c>
      <c r="L52" s="24">
        <f>L15/$B$13*2/1000</f>
        <v>0</v>
      </c>
      <c r="M52" s="1" t="s">
        <v>51</v>
      </c>
      <c r="O52" s="2" t="s">
        <v>145</v>
      </c>
      <c r="P52" s="24">
        <f>P15/$B$13*2/1000</f>
        <v>8.0879999999999997E-3</v>
      </c>
      <c r="Q52" s="1" t="s">
        <v>51</v>
      </c>
    </row>
    <row r="53" spans="11:17" ht="18" customHeight="1" x14ac:dyDescent="0.3">
      <c r="K53" s="2" t="s">
        <v>146</v>
      </c>
      <c r="L53" s="24">
        <f>L52-SUM(L40:L43)-L39+L38-L46-L49-2*L48+L51</f>
        <v>-0.77979890608242153</v>
      </c>
      <c r="M53" s="1" t="s">
        <v>51</v>
      </c>
      <c r="O53" s="2" t="s">
        <v>146</v>
      </c>
      <c r="P53" s="24">
        <f>P52-SUM(P40:P43)-P39+P38-P46-P49-2*P48+P51</f>
        <v>8.0876270116937606E-3</v>
      </c>
      <c r="Q53" s="1" t="s">
        <v>51</v>
      </c>
    </row>
    <row r="54" spans="11:17" ht="18" customHeight="1" x14ac:dyDescent="0.3">
      <c r="K54" s="2" t="s">
        <v>121</v>
      </c>
      <c r="L54" s="24">
        <f>L53*(L38+$H$13)/$H$13</f>
        <v>-0.9543741355703399</v>
      </c>
      <c r="M54" s="1" t="s">
        <v>51</v>
      </c>
      <c r="O54" s="2" t="s">
        <v>121</v>
      </c>
      <c r="P54" s="24">
        <f>P53*(P38+$H$13)/$H$13</f>
        <v>8.5424277008338718E-3</v>
      </c>
      <c r="Q54" s="1" t="s">
        <v>51</v>
      </c>
    </row>
    <row r="55" spans="11:17" ht="18" customHeight="1" x14ac:dyDescent="0.3">
      <c r="K55" s="2" t="s">
        <v>147</v>
      </c>
      <c r="L55" s="24">
        <f>L54-L53</f>
        <v>-0.17457522948791837</v>
      </c>
      <c r="M55" s="1" t="s">
        <v>51</v>
      </c>
      <c r="O55" s="2" t="s">
        <v>147</v>
      </c>
      <c r="P55" s="24">
        <f>P54-P53</f>
        <v>4.5480068914011129E-4</v>
      </c>
      <c r="Q55" s="1" t="s">
        <v>51</v>
      </c>
    </row>
    <row r="56" spans="11:17" ht="18" customHeight="1" x14ac:dyDescent="0.3">
      <c r="K56" s="2" t="s">
        <v>148</v>
      </c>
      <c r="L56" s="23">
        <f>L38-L39-L40-L41-L42-L43+L45-3*L48-2*L49-L50+L57</f>
        <v>0.5942564260996035</v>
      </c>
      <c r="M56" s="1" t="s">
        <v>149</v>
      </c>
      <c r="O56" s="2" t="s">
        <v>148</v>
      </c>
      <c r="P56" s="23">
        <f>P38-P39-P40-P41-P42-P43+P45-3*P48-2*P49-P50+P57</f>
        <v>-8.838331682324711E-8</v>
      </c>
      <c r="Q56" s="1" t="s">
        <v>149</v>
      </c>
    </row>
    <row r="57" spans="11:17" ht="18" customHeight="1" x14ac:dyDescent="0.3">
      <c r="K57" s="2" t="s">
        <v>150</v>
      </c>
      <c r="L57" s="4">
        <v>1.374055332182025</v>
      </c>
      <c r="M57" s="1" t="s">
        <v>51</v>
      </c>
      <c r="O57" s="2" t="s">
        <v>150</v>
      </c>
      <c r="P57" s="4">
        <v>2.8460498941515519E-7</v>
      </c>
      <c r="Q57" s="1" t="s">
        <v>51</v>
      </c>
    </row>
    <row r="58" spans="11:17" ht="18" customHeight="1" x14ac:dyDescent="0.3">
      <c r="K58" s="2" t="s">
        <v>130</v>
      </c>
      <c r="L58" s="28">
        <v>0.02</v>
      </c>
      <c r="M58" s="1" t="s">
        <v>51</v>
      </c>
      <c r="O58" s="2" t="s">
        <v>130</v>
      </c>
      <c r="P58" s="28">
        <v>0.02</v>
      </c>
      <c r="Q58" s="1" t="s">
        <v>51</v>
      </c>
    </row>
    <row r="59" spans="11:17" ht="18" customHeight="1" x14ac:dyDescent="0.3">
      <c r="K59" s="2" t="s">
        <v>127</v>
      </c>
      <c r="L59" s="29">
        <f>L57+L58</f>
        <v>1.394055332182025</v>
      </c>
      <c r="M59" s="1" t="s">
        <v>51</v>
      </c>
      <c r="O59" s="2" t="s">
        <v>127</v>
      </c>
      <c r="P59" s="29">
        <f>P57+P58</f>
        <v>2.0000284604989416E-2</v>
      </c>
      <c r="Q59" s="1" t="s">
        <v>51</v>
      </c>
    </row>
    <row r="62" spans="11:17" ht="18" customHeight="1" x14ac:dyDescent="0.3">
      <c r="M62" s="36" t="s">
        <v>151</v>
      </c>
      <c r="N62" s="36"/>
      <c r="O62" s="36"/>
    </row>
    <row r="63" spans="11:17" ht="18" customHeight="1" x14ac:dyDescent="0.3">
      <c r="M63" s="2" t="s">
        <v>133</v>
      </c>
      <c r="N63" s="20">
        <f>(L38*$H$4/1000+P38*($H$2+$H$3)/1000)/($H$2+$H$3+$H$4)*1000</f>
        <v>2.6418320031970446E-8</v>
      </c>
      <c r="O63" s="1" t="s">
        <v>51</v>
      </c>
    </row>
    <row r="64" spans="11:17" ht="18" customHeight="1" x14ac:dyDescent="0.3">
      <c r="M64" s="2" t="s">
        <v>134</v>
      </c>
      <c r="N64" s="20">
        <f>$H$18/N63</f>
        <v>3.7852520477828946E-7</v>
      </c>
      <c r="O64" s="1" t="s">
        <v>51</v>
      </c>
    </row>
    <row r="65" spans="13:15" ht="18" customHeight="1" x14ac:dyDescent="0.3">
      <c r="M65" s="2" t="s">
        <v>135</v>
      </c>
      <c r="N65" s="20">
        <f>(L40*$H$4/1000+P40*($H$2+$H$3)/1000)/($H$2+$H$3+$H$4)*1000</f>
        <v>0</v>
      </c>
      <c r="O65" s="1" t="s">
        <v>51</v>
      </c>
    </row>
    <row r="66" spans="13:15" ht="18" customHeight="1" x14ac:dyDescent="0.3">
      <c r="M66" s="2" t="s">
        <v>136</v>
      </c>
      <c r="N66" s="20">
        <f t="shared" ref="N66:N68" si="2">(L41*$H$4/1000+P41*($H$2+$H$3)/1000)/($H$2+$H$3+$H$4)*1000</f>
        <v>1.353230205782944E-2</v>
      </c>
      <c r="O66" s="1" t="s">
        <v>51</v>
      </c>
    </row>
    <row r="67" spans="13:15" ht="18" customHeight="1" x14ac:dyDescent="0.3">
      <c r="M67" s="2" t="s">
        <v>137</v>
      </c>
      <c r="N67" s="20">
        <f t="shared" si="2"/>
        <v>0</v>
      </c>
      <c r="O67" s="1" t="s">
        <v>51</v>
      </c>
    </row>
    <row r="68" spans="13:15" ht="18" customHeight="1" x14ac:dyDescent="0.3">
      <c r="M68" s="2" t="s">
        <v>138</v>
      </c>
      <c r="N68" s="20">
        <f t="shared" si="2"/>
        <v>0</v>
      </c>
      <c r="O68" s="1" t="s">
        <v>51</v>
      </c>
    </row>
    <row r="69" spans="13:15" ht="18" customHeight="1" x14ac:dyDescent="0.3">
      <c r="M69" s="2" t="s">
        <v>139</v>
      </c>
      <c r="N69" s="20">
        <f>T28*N63/($H$14+N63)</f>
        <v>0</v>
      </c>
      <c r="O69" s="1" t="s">
        <v>51</v>
      </c>
    </row>
    <row r="70" spans="13:15" ht="18" customHeight="1" x14ac:dyDescent="0.3">
      <c r="M70" s="2" t="s">
        <v>140</v>
      </c>
      <c r="N70" s="20">
        <f>T28-N69</f>
        <v>0</v>
      </c>
      <c r="O70" s="1" t="s">
        <v>51</v>
      </c>
    </row>
    <row r="71" spans="13:15" ht="18" customHeight="1" x14ac:dyDescent="0.3">
      <c r="M71" s="2" t="s">
        <v>141</v>
      </c>
      <c r="N71" s="20">
        <f>$H$15*T29/($H$15+N63+N63^2/$H$16+N63^3/($H$16*$H$17))</f>
        <v>0</v>
      </c>
      <c r="O71" s="6" t="s">
        <v>51</v>
      </c>
    </row>
    <row r="72" spans="13:15" ht="18" customHeight="1" x14ac:dyDescent="0.3">
      <c r="M72" s="2" t="s">
        <v>142</v>
      </c>
      <c r="N72" s="20">
        <f>$H$16*T29/($H$15*$H$16/N63+$H$16+N63+(N63^2)/$H$17)</f>
        <v>0</v>
      </c>
      <c r="O72" s="6" t="s">
        <v>51</v>
      </c>
    </row>
    <row r="73" spans="13:15" ht="18" customHeight="1" x14ac:dyDescent="0.3">
      <c r="M73" s="2" t="s">
        <v>143</v>
      </c>
      <c r="N73" s="20">
        <f>T29*$H$17/(N63+$H$17+$H$17*$H$16/N63+$H$17*$H$16*$H$15/(N63^2))</f>
        <v>0</v>
      </c>
      <c r="O73" s="6" t="s">
        <v>51</v>
      </c>
    </row>
    <row r="74" spans="13:15" ht="18" customHeight="1" x14ac:dyDescent="0.3">
      <c r="M74" s="2" t="s">
        <v>144</v>
      </c>
      <c r="N74" s="20">
        <f>T29-N71-N72-N73</f>
        <v>0</v>
      </c>
      <c r="O74" s="6" t="s">
        <v>51</v>
      </c>
    </row>
    <row r="75" spans="13:15" ht="18" customHeight="1" x14ac:dyDescent="0.3">
      <c r="M75" s="2" t="s">
        <v>146</v>
      </c>
      <c r="N75" s="24">
        <f>T27*$H$13/($H$13+N63)</f>
        <v>7.9254491717511612E-3</v>
      </c>
      <c r="O75" s="1" t="s">
        <v>51</v>
      </c>
    </row>
    <row r="76" spans="13:15" ht="18" customHeight="1" x14ac:dyDescent="0.3">
      <c r="M76" s="2" t="s">
        <v>147</v>
      </c>
      <c r="N76" s="24">
        <f>T27-N75</f>
        <v>4.6873683362355471E-4</v>
      </c>
      <c r="O76" s="1" t="s">
        <v>51</v>
      </c>
    </row>
    <row r="77" spans="13:15" ht="18" customHeight="1" x14ac:dyDescent="0.3">
      <c r="M77" s="2" t="s">
        <v>148</v>
      </c>
      <c r="N77" s="23">
        <f>N63-N64-N65-N66-N67-N68+N69-3*N71-2*N72-N73+N78-N75</f>
        <v>0</v>
      </c>
      <c r="O77" s="1" t="s">
        <v>149</v>
      </c>
    </row>
    <row r="78" spans="13:15" ht="18" customHeight="1" x14ac:dyDescent="0.3">
      <c r="M78" s="2" t="s">
        <v>150</v>
      </c>
      <c r="N78" s="4">
        <v>2.1458103336465348E-2</v>
      </c>
      <c r="O78" s="1" t="s">
        <v>51</v>
      </c>
    </row>
    <row r="79" spans="13:15" ht="18" customHeight="1" x14ac:dyDescent="0.3">
      <c r="M79" s="2" t="s">
        <v>130</v>
      </c>
      <c r="N79" s="28">
        <v>0.04</v>
      </c>
      <c r="O79" s="1" t="s">
        <v>51</v>
      </c>
    </row>
    <row r="80" spans="13:15" ht="18" customHeight="1" x14ac:dyDescent="0.3">
      <c r="M80" s="2" t="s">
        <v>127</v>
      </c>
      <c r="N80" s="29">
        <f>N78+N79</f>
        <v>6.1458103336465349E-2</v>
      </c>
      <c r="O80" s="1" t="s">
        <v>51</v>
      </c>
    </row>
  </sheetData>
  <mergeCells count="9">
    <mergeCell ref="S1:U1"/>
    <mergeCell ref="G8:I8"/>
    <mergeCell ref="K22:M22"/>
    <mergeCell ref="O22:Q22"/>
    <mergeCell ref="M62:O62"/>
    <mergeCell ref="A1:C1"/>
    <mergeCell ref="G1:I1"/>
    <mergeCell ref="K1:M1"/>
    <mergeCell ref="O1:Q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6321-B4E5-42BB-9786-92DE9C0C50E7}">
  <dimension ref="A1:U80"/>
  <sheetViews>
    <sheetView topLeftCell="A59" zoomScale="85" zoomScaleNormal="85" workbookViewId="0">
      <selection activeCell="N80" sqref="N80"/>
    </sheetView>
  </sheetViews>
  <sheetFormatPr defaultColWidth="8.88671875" defaultRowHeight="18" customHeight="1" x14ac:dyDescent="0.3"/>
  <cols>
    <col min="1" max="21" width="10.6640625" style="6" customWidth="1"/>
    <col min="22" max="16384" width="8.88671875" style="6"/>
  </cols>
  <sheetData>
    <row r="1" spans="1:21" ht="18" customHeight="1" x14ac:dyDescent="0.3">
      <c r="A1" s="37" t="s">
        <v>0</v>
      </c>
      <c r="B1" s="37"/>
      <c r="C1" s="37"/>
      <c r="G1" s="38" t="s">
        <v>1</v>
      </c>
      <c r="H1" s="38"/>
      <c r="I1" s="38"/>
      <c r="K1" s="38" t="s">
        <v>2</v>
      </c>
      <c r="L1" s="38"/>
      <c r="M1" s="38"/>
      <c r="N1" s="7"/>
      <c r="O1" s="38" t="s">
        <v>3</v>
      </c>
      <c r="P1" s="38"/>
      <c r="Q1" s="38"/>
      <c r="S1" s="35" t="s">
        <v>4</v>
      </c>
      <c r="T1" s="35"/>
      <c r="U1" s="35"/>
    </row>
    <row r="2" spans="1:21" ht="18" customHeight="1" x14ac:dyDescent="0.3">
      <c r="A2" s="2" t="s">
        <v>5</v>
      </c>
      <c r="B2" s="9">
        <f>32*6/180</f>
        <v>1.0666666666666667</v>
      </c>
      <c r="C2" s="3" t="s">
        <v>6</v>
      </c>
      <c r="D2" s="7" t="s">
        <v>7</v>
      </c>
      <c r="G2" s="2" t="s">
        <v>8</v>
      </c>
      <c r="H2" s="11">
        <v>445</v>
      </c>
      <c r="I2" s="7" t="s">
        <v>9</v>
      </c>
      <c r="K2" s="2" t="s">
        <v>10</v>
      </c>
      <c r="L2" s="11">
        <v>100</v>
      </c>
      <c r="M2" s="7" t="s">
        <v>11</v>
      </c>
      <c r="N2" s="7"/>
      <c r="O2" s="2" t="s">
        <v>10</v>
      </c>
      <c r="P2" s="11">
        <v>0</v>
      </c>
      <c r="Q2" s="7" t="s">
        <v>11</v>
      </c>
      <c r="S2" s="8" t="s">
        <v>12</v>
      </c>
      <c r="T2" s="7">
        <v>0</v>
      </c>
      <c r="U2" s="18" t="str">
        <f>CONCATENATE("batch_pro_g.Xsu_restart = (open.X_su*batch_pro_g.V_inoculum+",T2,"*batch_pro_g.V_add)/batch_pro_g.V_liq;")</f>
        <v>batch_pro_g.Xsu_restart = (open.X_su*batch_pro_g.V_inoculum+0*batch_pro_g.V_add)/batch_pro_g.V_liq;</v>
      </c>
    </row>
    <row r="3" spans="1:21" ht="18" customHeight="1" x14ac:dyDescent="0.3">
      <c r="A3" s="2" t="s">
        <v>13</v>
      </c>
      <c r="B3" s="9">
        <v>1.58</v>
      </c>
      <c r="C3" s="3" t="s">
        <v>14</v>
      </c>
      <c r="D3" s="7" t="s">
        <v>7</v>
      </c>
      <c r="G3" s="2" t="s">
        <v>15</v>
      </c>
      <c r="H3" s="10">
        <v>0</v>
      </c>
      <c r="I3" s="7" t="s">
        <v>9</v>
      </c>
      <c r="K3" s="2" t="s">
        <v>16</v>
      </c>
      <c r="L3" s="11">
        <v>0</v>
      </c>
      <c r="M3" s="7" t="s">
        <v>17</v>
      </c>
      <c r="N3" s="7"/>
      <c r="O3" s="2" t="s">
        <v>16</v>
      </c>
      <c r="P3" s="11">
        <v>0</v>
      </c>
      <c r="Q3" s="7" t="s">
        <v>17</v>
      </c>
      <c r="S3" s="8" t="s">
        <v>18</v>
      </c>
      <c r="T3" s="7">
        <v>0</v>
      </c>
      <c r="U3" s="18" t="str">
        <f>CONCATENATE("batch_pro_g.Xaa_restart = (open.X_aa*batch_pro_g.V_inoculum+",T3,"*batch_pro_g.V_add)/batch_pro_g.V_liq;")</f>
        <v>batch_pro_g.Xaa_restart = (open.X_aa*batch_pro_g.V_inoculum+0*batch_pro_g.V_add)/batch_pro_g.V_liq;</v>
      </c>
    </row>
    <row r="4" spans="1:21" ht="18" customHeight="1" x14ac:dyDescent="0.3">
      <c r="A4" s="2" t="s">
        <v>19</v>
      </c>
      <c r="B4" s="9">
        <v>1.53</v>
      </c>
      <c r="C4" s="3" t="s">
        <v>20</v>
      </c>
      <c r="D4" s="7" t="s">
        <v>7</v>
      </c>
      <c r="G4" s="5" t="s">
        <v>21</v>
      </c>
      <c r="H4" s="12">
        <v>16</v>
      </c>
      <c r="I4" s="7" t="s">
        <v>9</v>
      </c>
      <c r="K4" s="8" t="s">
        <v>22</v>
      </c>
      <c r="L4" s="14">
        <v>0</v>
      </c>
      <c r="M4" s="7" t="s">
        <v>23</v>
      </c>
      <c r="N4" s="7"/>
      <c r="O4" s="8" t="s">
        <v>22</v>
      </c>
      <c r="P4" s="14">
        <v>0</v>
      </c>
      <c r="Q4" s="7" t="s">
        <v>23</v>
      </c>
      <c r="S4" s="8" t="s">
        <v>24</v>
      </c>
      <c r="T4" s="7">
        <v>0</v>
      </c>
      <c r="U4" s="18" t="str">
        <f>CONCATENATE("batch_pro_g.Xfa_restart = (open.X_fa*batch_pro_g.V_inoculum+",T4,"*batch_pro_g.V_add)/batch_pro_g.V_liq;")</f>
        <v>batch_pro_g.Xfa_restart = (open.X_fa*batch_pro_g.V_inoculum+0*batch_pro_g.V_add)/batch_pro_g.V_liq;</v>
      </c>
    </row>
    <row r="5" spans="1:21" ht="18" customHeight="1" x14ac:dyDescent="0.3">
      <c r="A5" s="5" t="s">
        <v>25</v>
      </c>
      <c r="B5" s="9">
        <f>1/0.16</f>
        <v>6.25</v>
      </c>
      <c r="C5" s="3" t="s">
        <v>26</v>
      </c>
      <c r="D5" s="7" t="s">
        <v>7</v>
      </c>
      <c r="G5" s="5" t="s">
        <v>27</v>
      </c>
      <c r="H5" s="12">
        <f>SUM(H2:H4)</f>
        <v>461</v>
      </c>
      <c r="I5" s="7" t="s">
        <v>9</v>
      </c>
      <c r="K5" s="8" t="s">
        <v>28</v>
      </c>
      <c r="L5" s="15">
        <v>0</v>
      </c>
      <c r="M5" s="7" t="s">
        <v>29</v>
      </c>
      <c r="N5" s="7"/>
      <c r="O5" s="8" t="s">
        <v>28</v>
      </c>
      <c r="P5" s="15">
        <v>1</v>
      </c>
      <c r="Q5" s="7" t="s">
        <v>29</v>
      </c>
      <c r="S5" s="8" t="s">
        <v>30</v>
      </c>
      <c r="T5" s="7">
        <v>0</v>
      </c>
      <c r="U5" s="18" t="str">
        <f>CONCATENATE("batch_pro_g.Xc4_restart = (open.X_c4*batch_pro_g.V_inoculum+",T5,"*batch_pro_g.V_add)/batch_pro_g.V_liq;")</f>
        <v>batch_pro_g.Xc4_restart = (open.X_c4*batch_pro_g.V_inoculum+0*batch_pro_g.V_add)/batch_pro_g.V_liq;</v>
      </c>
    </row>
    <row r="6" spans="1:21" ht="18" customHeight="1" x14ac:dyDescent="0.3">
      <c r="A6" s="2" t="s">
        <v>31</v>
      </c>
      <c r="B6" s="9">
        <v>2.83</v>
      </c>
      <c r="C6" s="3" t="s">
        <v>32</v>
      </c>
      <c r="D6" s="7" t="s">
        <v>7</v>
      </c>
      <c r="K6" s="8" t="s">
        <v>33</v>
      </c>
      <c r="L6" s="16">
        <v>0</v>
      </c>
      <c r="M6" s="7" t="s">
        <v>34</v>
      </c>
      <c r="N6" s="7"/>
      <c r="O6" s="8" t="s">
        <v>33</v>
      </c>
      <c r="P6" s="16">
        <v>0</v>
      </c>
      <c r="Q6" s="7" t="s">
        <v>34</v>
      </c>
      <c r="S6" s="8" t="s">
        <v>35</v>
      </c>
      <c r="T6" s="7">
        <v>0</v>
      </c>
      <c r="U6" s="18" t="str">
        <f>CONCATENATE("batch_pro_g.Xpro_restart = (open.X_pro*batch_pro_g.V_inoculum+",T6,"*batch_pro_g.V_add)/batch_pro_g.V_liq;")</f>
        <v>batch_pro_g.Xpro_restart = (open.X_pro*batch_pro_g.V_inoculum+0*batch_pro_g.V_add)/batch_pro_g.V_liq;</v>
      </c>
    </row>
    <row r="7" spans="1:21" ht="18" customHeight="1" x14ac:dyDescent="0.3">
      <c r="A7" s="8" t="s">
        <v>36</v>
      </c>
      <c r="B7" s="9">
        <f>273.15+25</f>
        <v>298.14999999999998</v>
      </c>
      <c r="C7" s="7" t="s">
        <v>37</v>
      </c>
      <c r="D7" s="7" t="s">
        <v>38</v>
      </c>
      <c r="K7" s="8" t="s">
        <v>39</v>
      </c>
      <c r="L7" s="15">
        <v>0</v>
      </c>
      <c r="M7" s="7" t="s">
        <v>40</v>
      </c>
      <c r="N7" s="7"/>
      <c r="O7" s="8" t="s">
        <v>39</v>
      </c>
      <c r="P7" s="15">
        <v>0</v>
      </c>
      <c r="Q7" s="7" t="s">
        <v>40</v>
      </c>
      <c r="S7" s="8" t="s">
        <v>41</v>
      </c>
      <c r="T7" s="7">
        <v>0</v>
      </c>
      <c r="U7" s="18" t="str">
        <f>CONCATENATE("batch_pro_g.Xac_restart = (open.X_ac*batch_pro_g.V_inoculum+",T7,"*batch_pro_g.V_add)/batch_pro_g.V_liq;")</f>
        <v>batch_pro_g.Xac_restart = (open.X_ac*batch_pro_g.V_inoculum+0*batch_pro_g.V_add)/batch_pro_g.V_liq;</v>
      </c>
    </row>
    <row r="8" spans="1:21" ht="18" customHeight="1" x14ac:dyDescent="0.3">
      <c r="A8" s="8" t="s">
        <v>42</v>
      </c>
      <c r="B8" s="9">
        <v>0.08</v>
      </c>
      <c r="C8" s="7" t="s">
        <v>43</v>
      </c>
      <c r="D8" s="7"/>
      <c r="G8" s="36" t="s">
        <v>44</v>
      </c>
      <c r="H8" s="36"/>
      <c r="I8" s="36"/>
      <c r="J8" s="6">
        <f>L9*H4/1000/SUM(H2+H4+H5)*1000</f>
        <v>1.5271149674620388</v>
      </c>
      <c r="K8" s="8" t="s">
        <v>45</v>
      </c>
      <c r="L8" s="16">
        <v>0</v>
      </c>
      <c r="M8" s="7" t="s">
        <v>46</v>
      </c>
      <c r="N8" s="7"/>
      <c r="O8" s="8" t="s">
        <v>45</v>
      </c>
      <c r="P8" s="16">
        <v>0</v>
      </c>
      <c r="Q8" s="7" t="s">
        <v>46</v>
      </c>
      <c r="S8" s="8" t="s">
        <v>47</v>
      </c>
      <c r="T8" s="7">
        <v>0</v>
      </c>
      <c r="U8" s="18" t="str">
        <f>CONCATENATE("batch_pro_g.Xh2_restart = (open.X_h2*batch_pro_g.V_inoculum+",T8,"*batch_pro_g.V_add)/batch_pro_g.V_liq;")</f>
        <v>batch_pro_g.Xh2_restart = (open.X_h2*batch_pro_g.V_inoculum+0*batch_pro_g.V_add)/batch_pro_g.V_liq;</v>
      </c>
    </row>
    <row r="9" spans="1:21" ht="18" customHeight="1" x14ac:dyDescent="0.3">
      <c r="A9" s="8" t="s">
        <v>48</v>
      </c>
      <c r="B9" s="17">
        <v>60</v>
      </c>
      <c r="C9" s="7" t="s">
        <v>49</v>
      </c>
      <c r="G9" s="8" t="s">
        <v>50</v>
      </c>
      <c r="H9" s="19">
        <f t="shared" ref="H9:H18" si="0">10^-B17</f>
        <v>1.7378008287493744E-5</v>
      </c>
      <c r="I9" s="7" t="s">
        <v>51</v>
      </c>
      <c r="K9" s="8" t="s">
        <v>52</v>
      </c>
      <c r="L9" s="16">
        <v>88</v>
      </c>
      <c r="M9" s="7" t="s">
        <v>46</v>
      </c>
      <c r="N9" s="7"/>
      <c r="O9" s="8" t="s">
        <v>52</v>
      </c>
      <c r="P9" s="16">
        <v>0</v>
      </c>
      <c r="Q9" s="7" t="s">
        <v>46</v>
      </c>
      <c r="S9" s="8" t="s">
        <v>53</v>
      </c>
      <c r="T9" s="7">
        <v>0</v>
      </c>
      <c r="U9" s="18" t="str">
        <f>CONCATENATE("batch_pro_g.Xc_restart = (open.X_c*batch_pro_g.V_inoculum+",T9,"*batch_pro_g.V_add)/batch_pro_g.V_liq;")</f>
        <v>batch_pro_g.Xc_restart = (open.X_c*batch_pro_g.V_inoculum+0*batch_pro_g.V_add)/batch_pro_g.V_liq;</v>
      </c>
    </row>
    <row r="10" spans="1:21" ht="18" customHeight="1" x14ac:dyDescent="0.3">
      <c r="A10" s="8" t="s">
        <v>54</v>
      </c>
      <c r="B10" s="17">
        <v>74</v>
      </c>
      <c r="C10" s="7" t="s">
        <v>49</v>
      </c>
      <c r="G10" s="8" t="s">
        <v>55</v>
      </c>
      <c r="H10" s="19">
        <f t="shared" si="0"/>
        <v>1.3182567385564052E-5</v>
      </c>
      <c r="I10" s="7" t="s">
        <v>51</v>
      </c>
      <c r="K10" s="8" t="s">
        <v>56</v>
      </c>
      <c r="L10" s="16">
        <v>0</v>
      </c>
      <c r="M10" s="7" t="s">
        <v>46</v>
      </c>
      <c r="N10" s="7"/>
      <c r="O10" s="8" t="s">
        <v>56</v>
      </c>
      <c r="P10" s="16">
        <v>0</v>
      </c>
      <c r="Q10" s="7" t="s">
        <v>46</v>
      </c>
      <c r="S10" s="8" t="s">
        <v>57</v>
      </c>
      <c r="T10" s="25">
        <f>(L28*$H$4/1000+P28*($H$2+$H$3)/1000)/($H$2+$H$3+$H$4)*1000</f>
        <v>0</v>
      </c>
      <c r="U10" s="18" t="str">
        <f>CONCATENATE("batch_pro_g.Xi_restart = (open.X_i*batch_pro_g.V_inoculum+",L27,"*batch_pro_g.V_add)/batch_pro_g.V_liq;")</f>
        <v>batch_pro_g.Xi_restart = (open.X_i*batch_pro_g.V_inoculum+0*batch_pro_g.V_add)/batch_pro_g.V_liq;</v>
      </c>
    </row>
    <row r="11" spans="1:21" ht="18" customHeight="1" x14ac:dyDescent="0.3">
      <c r="A11" s="8" t="s">
        <v>58</v>
      </c>
      <c r="B11" s="17">
        <v>88</v>
      </c>
      <c r="C11" s="7" t="s">
        <v>49</v>
      </c>
      <c r="G11" s="8" t="s">
        <v>59</v>
      </c>
      <c r="H11" s="19">
        <f t="shared" si="0"/>
        <v>1.5135612484362051E-5</v>
      </c>
      <c r="I11" s="7" t="s">
        <v>51</v>
      </c>
      <c r="K11" s="8" t="s">
        <v>60</v>
      </c>
      <c r="L11" s="16">
        <v>0</v>
      </c>
      <c r="M11" s="7" t="s">
        <v>46</v>
      </c>
      <c r="N11" s="7"/>
      <c r="O11" s="8" t="s">
        <v>60</v>
      </c>
      <c r="P11" s="16">
        <v>0</v>
      </c>
      <c r="Q11" s="7" t="s">
        <v>46</v>
      </c>
      <c r="S11" s="8" t="s">
        <v>61</v>
      </c>
      <c r="T11" s="25">
        <f>(L29*$H$4/1000+P29*($H$2+$H$3)/1000)/($H$2+$H$3+$H$4)*1000</f>
        <v>0</v>
      </c>
      <c r="U11" s="18" t="str">
        <f>CONCATENATE("batch_pro_g.Xch1_restart = (open.X_ch[1]*batch_pro_g.V_inoculum+",T11,"*batch_pro_g.V_add)/batch_pro_g.V_liq;")</f>
        <v>batch_pro_g.Xch1_restart = (open.X_ch[1]*batch_pro_g.V_inoculum+0*batch_pro_g.V_add)/batch_pro_g.V_liq;</v>
      </c>
    </row>
    <row r="12" spans="1:21" ht="18" customHeight="1" x14ac:dyDescent="0.3">
      <c r="A12" s="8" t="s">
        <v>62</v>
      </c>
      <c r="B12" s="17">
        <v>102</v>
      </c>
      <c r="C12" s="7" t="s">
        <v>49</v>
      </c>
      <c r="G12" s="8" t="s">
        <v>63</v>
      </c>
      <c r="H12" s="19">
        <f t="shared" si="0"/>
        <v>1.3803842646028827E-5</v>
      </c>
      <c r="I12" s="7" t="s">
        <v>51</v>
      </c>
      <c r="K12" s="8" t="s">
        <v>64</v>
      </c>
      <c r="L12" s="15">
        <v>0</v>
      </c>
      <c r="M12" s="7" t="s">
        <v>65</v>
      </c>
      <c r="N12" s="7"/>
      <c r="O12" s="8" t="s">
        <v>64</v>
      </c>
      <c r="P12" s="15">
        <v>0</v>
      </c>
      <c r="Q12" s="7" t="s">
        <v>65</v>
      </c>
      <c r="S12" s="8" t="s">
        <v>66</v>
      </c>
      <c r="T12" s="25">
        <f t="shared" ref="T12:T15" si="1">(L30*$H$4/1000+P30*($H$2+$H$3)/1000)/($H$2+$H$3+$H$4)*1000</f>
        <v>0</v>
      </c>
      <c r="U12" s="18" t="str">
        <f>CONCATENATE("batch_pro_g.Xch2_restart = (open.X_ch[2]*batch_pro_g.V_inoculum+",T12,"*batch_pro_g.V_add)/batch_pro_g.V_liq;")</f>
        <v>batch_pro_g.Xch2_restart = (open.X_ch[2]*batch_pro_g.V_inoculum+0*batch_pro_g.V_add)/batch_pro_g.V_liq;</v>
      </c>
    </row>
    <row r="13" spans="1:21" ht="18" customHeight="1" x14ac:dyDescent="0.3">
      <c r="A13" s="8" t="s">
        <v>67</v>
      </c>
      <c r="B13" s="17">
        <v>100</v>
      </c>
      <c r="C13" s="7" t="s">
        <v>49</v>
      </c>
      <c r="G13" s="8" t="s">
        <v>68</v>
      </c>
      <c r="H13" s="19">
        <f t="shared" si="0"/>
        <v>4.4668359215096327E-7</v>
      </c>
      <c r="I13" s="7" t="s">
        <v>51</v>
      </c>
      <c r="K13" s="8" t="s">
        <v>69</v>
      </c>
      <c r="L13" s="15">
        <v>0</v>
      </c>
      <c r="M13" s="7" t="s">
        <v>70</v>
      </c>
      <c r="N13" s="7"/>
      <c r="O13" s="8" t="s">
        <v>69</v>
      </c>
      <c r="P13" s="15">
        <v>0</v>
      </c>
      <c r="Q13" s="7" t="s">
        <v>70</v>
      </c>
      <c r="S13" s="8" t="s">
        <v>71</v>
      </c>
      <c r="T13" s="25">
        <f t="shared" si="1"/>
        <v>0</v>
      </c>
      <c r="U13" s="18" t="str">
        <f>CONCATENATE("batch_pro_g.Xpr1_restart = (open.X_pr[1]*batch_pro_g.V_inoculum+",T13,"*batch_pro_g.V_add)/batch_pro_g.V_liq;")</f>
        <v>batch_pro_g.Xpr1_restart = (open.X_pr[1]*batch_pro_g.V_inoculum+0*batch_pro_g.V_add)/batch_pro_g.V_liq;</v>
      </c>
    </row>
    <row r="14" spans="1:21" ht="18" customHeight="1" x14ac:dyDescent="0.3">
      <c r="A14" s="8" t="s">
        <v>72</v>
      </c>
      <c r="B14" s="17">
        <v>60</v>
      </c>
      <c r="C14" s="7" t="s">
        <v>49</v>
      </c>
      <c r="G14" s="8" t="s">
        <v>73</v>
      </c>
      <c r="H14" s="19">
        <f t="shared" si="0"/>
        <v>5.6234132519034889E-10</v>
      </c>
      <c r="I14" s="7" t="s">
        <v>51</v>
      </c>
      <c r="K14" s="8" t="s">
        <v>74</v>
      </c>
      <c r="L14" s="15">
        <v>7</v>
      </c>
      <c r="M14" s="7" t="s">
        <v>43</v>
      </c>
      <c r="N14" s="7"/>
      <c r="O14" s="8" t="s">
        <v>74</v>
      </c>
      <c r="P14" s="15">
        <v>7.6</v>
      </c>
      <c r="Q14" s="7" t="s">
        <v>43</v>
      </c>
      <c r="S14" s="8" t="s">
        <v>75</v>
      </c>
      <c r="T14" s="25">
        <f t="shared" si="1"/>
        <v>0</v>
      </c>
      <c r="U14" s="18" t="str">
        <f>CONCATENATE("batch_pro_g.Xpr2_restart = (open.X_pr[2]*batch_pro_g.V_inoculum+",T14,"*batch_pro_g.V_add)/batch_pro_g.V_liq;")</f>
        <v>batch_pro_g.Xpr2_restart = (open.X_pr[2]*batch_pro_g.V_inoculum+0*batch_pro_g.V_add)/batch_pro_g.V_liq;</v>
      </c>
    </row>
    <row r="15" spans="1:21" ht="18" customHeight="1" x14ac:dyDescent="0.3">
      <c r="A15" s="8" t="s">
        <v>76</v>
      </c>
      <c r="B15" s="17">
        <v>14</v>
      </c>
      <c r="C15" s="7" t="s">
        <v>49</v>
      </c>
      <c r="G15" s="8" t="s">
        <v>77</v>
      </c>
      <c r="H15" s="19">
        <f t="shared" si="0"/>
        <v>2.1379620895022253E-13</v>
      </c>
      <c r="I15" s="7" t="s">
        <v>51</v>
      </c>
      <c r="K15" s="8" t="s">
        <v>78</v>
      </c>
      <c r="L15" s="15">
        <v>0</v>
      </c>
      <c r="M15" s="7" t="s">
        <v>79</v>
      </c>
      <c r="N15" s="7"/>
      <c r="O15" s="8" t="s">
        <v>78</v>
      </c>
      <c r="P15" s="15">
        <v>404.4</v>
      </c>
      <c r="Q15" s="7" t="s">
        <v>79</v>
      </c>
      <c r="S15" s="8" t="s">
        <v>80</v>
      </c>
      <c r="T15" s="25">
        <f t="shared" si="1"/>
        <v>0</v>
      </c>
      <c r="U15" s="18" t="str">
        <f>CONCATENATE("batch_pro_g.Xli_restart = (open.X_li*batch_pro_g.V_inoculum+",T15,"*batch_pro_g.V_add)/batch_pro_g.V_liq;")</f>
        <v>batch_pro_g.Xli_restart = (open.X_li*batch_pro_g.V_inoculum+0*batch_pro_g.V_add)/batch_pro_g.V_liq;</v>
      </c>
    </row>
    <row r="16" spans="1:21" ht="18" customHeight="1" x14ac:dyDescent="0.3">
      <c r="A16" s="8" t="s">
        <v>81</v>
      </c>
      <c r="B16" s="17">
        <v>31</v>
      </c>
      <c r="C16" s="7" t="s">
        <v>49</v>
      </c>
      <c r="G16" s="8" t="s">
        <v>82</v>
      </c>
      <c r="H16" s="19">
        <f t="shared" si="0"/>
        <v>6.1659500186148087E-8</v>
      </c>
      <c r="I16" s="7" t="s">
        <v>51</v>
      </c>
      <c r="K16" s="8" t="s">
        <v>83</v>
      </c>
      <c r="L16" s="15">
        <v>0</v>
      </c>
      <c r="M16" s="7" t="s">
        <v>43</v>
      </c>
      <c r="N16" s="7"/>
      <c r="O16" s="8" t="s">
        <v>83</v>
      </c>
      <c r="P16" s="15">
        <v>0</v>
      </c>
      <c r="Q16" s="7" t="s">
        <v>43</v>
      </c>
      <c r="S16" s="8" t="s">
        <v>84</v>
      </c>
      <c r="T16" s="7">
        <v>0</v>
      </c>
      <c r="U16" s="18" t="str">
        <f>CONCATENATE("batch_pro_g.Xp_restart = (open.X_p*batch_pro_g.V_inoculum+",T16,"*batch_pro_g.V_add)/batch_pro_g.V_liq;")</f>
        <v>batch_pro_g.Xp_restart = (open.X_p*batch_pro_g.V_inoculum+0*batch_pro_g.V_add)/batch_pro_g.V_liq;</v>
      </c>
    </row>
    <row r="17" spans="1:21" ht="18" customHeight="1" x14ac:dyDescent="0.3">
      <c r="A17" s="8" t="s">
        <v>85</v>
      </c>
      <c r="B17" s="17">
        <v>4.76</v>
      </c>
      <c r="C17" s="7" t="s">
        <v>43</v>
      </c>
      <c r="G17" s="8" t="s">
        <v>86</v>
      </c>
      <c r="H17" s="19">
        <f t="shared" si="0"/>
        <v>7.5857757502918299E-3</v>
      </c>
      <c r="I17" s="7" t="s">
        <v>51</v>
      </c>
      <c r="K17" s="8" t="s">
        <v>87</v>
      </c>
      <c r="L17" s="15">
        <v>0</v>
      </c>
      <c r="M17" s="7" t="s">
        <v>43</v>
      </c>
      <c r="N17" s="7"/>
      <c r="O17" s="8" t="s">
        <v>87</v>
      </c>
      <c r="P17" s="15">
        <v>0</v>
      </c>
      <c r="Q17" s="7" t="s">
        <v>43</v>
      </c>
      <c r="S17" s="8" t="s">
        <v>88</v>
      </c>
      <c r="T17" s="7">
        <v>0</v>
      </c>
      <c r="U17" s="18" t="str">
        <f>CONCATENATE("batch_pro_g.Si_restart = (open.S_i*batch_pro_g.V_inoculum+",T17,"*batch_pro_g.V_add)/batch_pro_g.V_liq;")</f>
        <v>batch_pro_g.Si_restart = (open.S_i*batch_pro_g.V_inoculum+0*batch_pro_g.V_add)/batch_pro_g.V_liq;</v>
      </c>
    </row>
    <row r="18" spans="1:21" ht="18" customHeight="1" x14ac:dyDescent="0.3">
      <c r="A18" s="8" t="s">
        <v>89</v>
      </c>
      <c r="B18" s="17">
        <v>4.88</v>
      </c>
      <c r="C18" s="7" t="s">
        <v>43</v>
      </c>
      <c r="G18" s="8" t="s">
        <v>90</v>
      </c>
      <c r="H18" s="19">
        <f t="shared" si="0"/>
        <v>1E-14</v>
      </c>
      <c r="I18" s="7" t="s">
        <v>91</v>
      </c>
      <c r="K18" s="8" t="s">
        <v>92</v>
      </c>
      <c r="L18" s="15">
        <v>0</v>
      </c>
      <c r="M18" s="7" t="s">
        <v>43</v>
      </c>
      <c r="N18" s="7"/>
      <c r="O18" s="8" t="s">
        <v>92</v>
      </c>
      <c r="P18" s="15">
        <v>0</v>
      </c>
      <c r="Q18" s="7" t="s">
        <v>43</v>
      </c>
      <c r="S18" s="8" t="s">
        <v>93</v>
      </c>
      <c r="T18" s="7">
        <v>0</v>
      </c>
      <c r="U18" s="18" t="str">
        <f>CONCATENATE("batch_pro_g.Ssu_restart = (open.S_su*batch_pro_g.V_inoculum+",T18,"*batch_pro_g.V_add)/batch_pro_g.V_liq;")</f>
        <v>batch_pro_g.Ssu_restart = (open.S_su*batch_pro_g.V_inoculum+0*batch_pro_g.V_add)/batch_pro_g.V_liq;</v>
      </c>
    </row>
    <row r="19" spans="1:21" ht="18" customHeight="1" x14ac:dyDescent="0.3">
      <c r="A19" s="8" t="s">
        <v>94</v>
      </c>
      <c r="B19" s="17">
        <v>4.82</v>
      </c>
      <c r="C19" s="7" t="s">
        <v>43</v>
      </c>
      <c r="K19" s="8" t="s">
        <v>95</v>
      </c>
      <c r="L19" s="15">
        <v>0</v>
      </c>
      <c r="M19" s="7" t="s">
        <v>43</v>
      </c>
      <c r="N19" s="7"/>
      <c r="O19" s="8" t="s">
        <v>95</v>
      </c>
      <c r="P19" s="15">
        <v>0</v>
      </c>
      <c r="Q19" s="7" t="s">
        <v>43</v>
      </c>
      <c r="S19" s="8" t="s">
        <v>93</v>
      </c>
      <c r="T19" s="7">
        <v>0</v>
      </c>
      <c r="U19" s="18" t="str">
        <f>CONCATENATE("batch_pro_g.Saa_restart = (open.S_aa*batch_pro_g.V_inoculum+",T19,"*batch_pro_g.V_add)/batch_pro_g.V_liq;")</f>
        <v>batch_pro_g.Saa_restart = (open.S_aa*batch_pro_g.V_inoculum+0*batch_pro_g.V_add)/batch_pro_g.V_liq;</v>
      </c>
    </row>
    <row r="20" spans="1:21" ht="18" customHeight="1" x14ac:dyDescent="0.3">
      <c r="A20" s="8" t="s">
        <v>96</v>
      </c>
      <c r="B20" s="17">
        <v>4.8600000000000003</v>
      </c>
      <c r="C20" s="7" t="s">
        <v>43</v>
      </c>
      <c r="K20" s="8" t="s">
        <v>97</v>
      </c>
      <c r="L20" s="15">
        <v>0</v>
      </c>
      <c r="M20" s="7" t="s">
        <v>43</v>
      </c>
      <c r="N20" s="7"/>
      <c r="O20" s="8" t="s">
        <v>97</v>
      </c>
      <c r="P20" s="15">
        <v>0</v>
      </c>
      <c r="Q20" s="7" t="s">
        <v>43</v>
      </c>
      <c r="S20" s="8" t="s">
        <v>98</v>
      </c>
      <c r="T20" s="7">
        <v>0</v>
      </c>
      <c r="U20" s="18" t="str">
        <f>CONCATENATE("batch_pro_g.Sfa_restart = (open.S_fa*batch_pro_g.V_inoculum+",T20,"*batch_pro_g.V_add)/batch_pro_g.V_liq;")</f>
        <v>batch_pro_g.Sfa_restart = (open.S_fa*batch_pro_g.V_inoculum+0*batch_pro_g.V_add)/batch_pro_g.V_liq;</v>
      </c>
    </row>
    <row r="21" spans="1:21" ht="18" customHeight="1" x14ac:dyDescent="0.3">
      <c r="A21" s="8" t="s">
        <v>99</v>
      </c>
      <c r="B21" s="17">
        <v>6.35</v>
      </c>
      <c r="C21" s="7" t="s">
        <v>43</v>
      </c>
      <c r="K21" s="7"/>
      <c r="L21" s="7"/>
      <c r="M21" s="7"/>
      <c r="N21" s="7"/>
      <c r="O21" s="7"/>
      <c r="P21" s="7"/>
      <c r="S21" s="8" t="s">
        <v>100</v>
      </c>
      <c r="T21" s="25">
        <f>(L11*$H$4/1000+P11*($H$2+$H$3)/1000)/($H$2+$H$3+$H$4)*1000</f>
        <v>0</v>
      </c>
      <c r="U21" s="18" t="str">
        <f>CONCATENATE("batch_pro_g.Sva_restart = (open.S_va*batch_pro_g.V_inoculum+",T21,"*batch_pro_g.V_add)/batch_pro_g.V_liq;")</f>
        <v>batch_pro_g.Sva_restart = (open.S_va*batch_pro_g.V_inoculum+0*batch_pro_g.V_add)/batch_pro_g.V_liq;</v>
      </c>
    </row>
    <row r="22" spans="1:21" ht="18" customHeight="1" x14ac:dyDescent="0.3">
      <c r="A22" s="8" t="s">
        <v>101</v>
      </c>
      <c r="B22" s="17">
        <v>9.25</v>
      </c>
      <c r="C22" s="7" t="s">
        <v>43</v>
      </c>
      <c r="K22" s="36" t="s">
        <v>102</v>
      </c>
      <c r="L22" s="36"/>
      <c r="M22" s="36"/>
      <c r="N22" s="7"/>
      <c r="O22" s="36" t="s">
        <v>103</v>
      </c>
      <c r="P22" s="36"/>
      <c r="Q22" s="36"/>
      <c r="S22" s="8" t="s">
        <v>104</v>
      </c>
      <c r="T22" s="25">
        <f>(L10*$H$4/1000+P10*($H$2+$H$3)/1000)/($H$2+$H$3+$H$4)*1000</f>
        <v>0</v>
      </c>
      <c r="U22" s="18" t="str">
        <f>CONCATENATE("batch_pro_g.Sbu_restart = (open.S_bu*batch_pro_g.V_inoculum+",T22,"*batch_pro_g.V_add)/batch_pro_g.V_liq;")</f>
        <v>batch_pro_g.Sbu_restart = (open.S_bu*batch_pro_g.V_inoculum+0*batch_pro_g.V_add)/batch_pro_g.V_liq;</v>
      </c>
    </row>
    <row r="23" spans="1:21" ht="18" customHeight="1" x14ac:dyDescent="0.3">
      <c r="A23" s="8" t="s">
        <v>105</v>
      </c>
      <c r="B23" s="17">
        <v>12.67</v>
      </c>
      <c r="C23" s="7" t="s">
        <v>43</v>
      </c>
      <c r="E23" s="7"/>
      <c r="F23" s="7"/>
      <c r="G23" s="7"/>
      <c r="H23" s="7"/>
      <c r="I23" s="7"/>
      <c r="K23" s="8" t="s">
        <v>106</v>
      </c>
      <c r="L23" s="13">
        <f>$L$5*$L$3*$L$4/1000/1000*$B$2</f>
        <v>0</v>
      </c>
      <c r="M23" s="7" t="s">
        <v>107</v>
      </c>
      <c r="N23" s="7"/>
      <c r="O23" s="8" t="s">
        <v>106</v>
      </c>
      <c r="P23" s="13">
        <f>$P$5*$P$3*$P$4/1000/1000*$B$2</f>
        <v>0</v>
      </c>
      <c r="Q23" s="7" t="s">
        <v>107</v>
      </c>
      <c r="S23" s="8" t="s">
        <v>108</v>
      </c>
      <c r="T23" s="25">
        <f>(L9*$H$4/1000+P9*($H$2+$H$3)/1000)/($H$2+$H$3+$H$4)*1000</f>
        <v>3.0542299349240776</v>
      </c>
      <c r="U23" s="18" t="str">
        <f>CONCATENATE("batch_pro_g.Spro_restart = (open.S_pro*batch_pro_g.V_inoculum+",T23,"*batch_pro_g.V_add)/batch_pro_g.V_liq;")</f>
        <v>batch_pro_g.Spro_restart = (open.S_pro*batch_pro_g.V_inoculum+3.05422993492408*batch_pro_g.V_add)/batch_pro_g.V_liq;</v>
      </c>
    </row>
    <row r="24" spans="1:21" ht="18" customHeight="1" x14ac:dyDescent="0.3">
      <c r="A24" s="8" t="s">
        <v>109</v>
      </c>
      <c r="B24" s="17">
        <v>7.21</v>
      </c>
      <c r="C24" s="7" t="s">
        <v>43</v>
      </c>
      <c r="E24" s="7"/>
      <c r="F24" s="7"/>
      <c r="G24" s="7"/>
      <c r="H24" s="7"/>
      <c r="I24" s="7"/>
      <c r="K24" s="8" t="s">
        <v>110</v>
      </c>
      <c r="L24" s="13">
        <f>$L$6*L3*$L$4/1000/1000*B4*B5</f>
        <v>0</v>
      </c>
      <c r="M24" s="7" t="s">
        <v>107</v>
      </c>
      <c r="N24" s="7"/>
      <c r="O24" s="8" t="s">
        <v>110</v>
      </c>
      <c r="P24" s="13">
        <f>$P$6*P3*$P$4/1000/1000*B4*B5</f>
        <v>0</v>
      </c>
      <c r="Q24" s="7" t="s">
        <v>107</v>
      </c>
      <c r="S24" s="8" t="s">
        <v>111</v>
      </c>
      <c r="T24" s="25">
        <f>(L8*$H$4/1000+P8*($H$2+$H$3)/1000)/($H$2+$H$3+$H$4)*1000</f>
        <v>0</v>
      </c>
      <c r="U24" s="18" t="str">
        <f>CONCATENATE("batch_pro_g.Sac_restart = (open.S_ac*batch_pro_g.V_inoculum+",T24,"*batch_pro_g.V_add)/batch_pro_g.V_liq;")</f>
        <v>batch_pro_g.Sac_restart = (open.S_ac*batch_pro_g.V_inoculum+0*batch_pro_g.V_add)/batch_pro_g.V_liq;</v>
      </c>
    </row>
    <row r="25" spans="1:21" ht="18" customHeight="1" x14ac:dyDescent="0.3">
      <c r="A25" s="8" t="s">
        <v>112</v>
      </c>
      <c r="B25" s="17">
        <v>2.12</v>
      </c>
      <c r="C25" s="7" t="s">
        <v>43</v>
      </c>
      <c r="E25" s="7"/>
      <c r="F25" s="7"/>
      <c r="G25" s="7"/>
      <c r="H25" s="7"/>
      <c r="I25" s="7"/>
      <c r="K25" s="8" t="s">
        <v>113</v>
      </c>
      <c r="L25" s="13">
        <f>$L$7*L3*$L$4/1000/1000*B6</f>
        <v>0</v>
      </c>
      <c r="M25" s="7" t="s">
        <v>107</v>
      </c>
      <c r="N25" s="7"/>
      <c r="O25" s="8" t="s">
        <v>113</v>
      </c>
      <c r="P25" s="13">
        <f>$P$7*P3*$P$4/1000/1000*B6</f>
        <v>0</v>
      </c>
      <c r="Q25" s="7" t="s">
        <v>107</v>
      </c>
      <c r="S25" s="8" t="s">
        <v>114</v>
      </c>
      <c r="T25" s="7">
        <v>0</v>
      </c>
      <c r="U25" s="18" t="str">
        <f>CONCATENATE("batch_pro_g.Sh2_restart = (open.S_h2*batch_pro_g.V_inoculum+",T25,"*batch_pro_g.V_add)/batch_pro_g.V_liq;")</f>
        <v>batch_pro_g.Sh2_restart = (open.S_h2*batch_pro_g.V_inoculum+0*batch_pro_g.V_add)/batch_pro_g.V_liq;</v>
      </c>
    </row>
    <row r="26" spans="1:21" ht="18" customHeight="1" x14ac:dyDescent="0.3">
      <c r="A26" s="8" t="s">
        <v>115</v>
      </c>
      <c r="B26" s="17">
        <v>14</v>
      </c>
      <c r="C26" s="7" t="s">
        <v>43</v>
      </c>
      <c r="E26" s="7"/>
      <c r="F26" s="7"/>
      <c r="G26" s="7"/>
      <c r="H26" s="7"/>
      <c r="I26" s="7"/>
      <c r="K26" s="8" t="s">
        <v>116</v>
      </c>
      <c r="L26" s="13">
        <f>IF(L3=0,0,SUM(L23:L25,L8:L11))</f>
        <v>0</v>
      </c>
      <c r="M26" s="7" t="s">
        <v>107</v>
      </c>
      <c r="N26" s="7"/>
      <c r="O26" s="8" t="s">
        <v>116</v>
      </c>
      <c r="P26" s="13">
        <f>IF(P3=0,0,SUM(P23:P25,P8:P11))</f>
        <v>0</v>
      </c>
      <c r="Q26" s="7" t="s">
        <v>107</v>
      </c>
      <c r="S26" s="8" t="s">
        <v>117</v>
      </c>
      <c r="T26" s="7">
        <v>0</v>
      </c>
      <c r="U26" s="18" t="str">
        <f>CONCATENATE("batch_pro_g.Sch4_restart = (open.S_ch4*batch_pro_g.V_inoculum+",T26,"*batch_pro_g.V_add)/batch_pro_g.V_liq;")</f>
        <v>batch_pro_g.Sch4_restart = (open.S_ch4*batch_pro_g.V_inoculum+0*batch_pro_g.V_add)/batch_pro_g.V_liq;</v>
      </c>
    </row>
    <row r="27" spans="1:21" ht="18" customHeight="1" x14ac:dyDescent="0.3">
      <c r="A27" s="8" t="s">
        <v>118</v>
      </c>
      <c r="B27" s="17">
        <v>64</v>
      </c>
      <c r="C27" s="7" t="s">
        <v>119</v>
      </c>
      <c r="E27" s="7"/>
      <c r="F27" s="7"/>
      <c r="G27" s="7"/>
      <c r="H27" s="7"/>
      <c r="I27" s="7"/>
      <c r="K27" s="8" t="s">
        <v>120</v>
      </c>
      <c r="L27" s="13">
        <f>IF(L3=0,0,$L$2*$L$3*$L$4/1000/$L$26/(350*(1-$B$8)))</f>
        <v>0</v>
      </c>
      <c r="M27" s="7" t="s">
        <v>43</v>
      </c>
      <c r="N27" s="7"/>
      <c r="O27" s="8" t="s">
        <v>120</v>
      </c>
      <c r="P27" s="13">
        <f>IF(P3=0,0,$P$2*$P$3*$P$4/1000/$P$26/(350*(1-$B$8)))</f>
        <v>0</v>
      </c>
      <c r="Q27" s="7" t="s">
        <v>43</v>
      </c>
      <c r="S27" s="8" t="s">
        <v>121</v>
      </c>
      <c r="T27" s="25">
        <f>IF(L15=0,(P54*($H$2+$H$3)/1000)/($H$2+$H$3+$H$4)*1000,(L54*$H$4/1000+P54*($H$2+$H$3)/1000)/($H$2+$H$3+$H$4)*1000)</f>
        <v>8.2459443099155601E-3</v>
      </c>
      <c r="U27" s="18" t="str">
        <f>CONCATENATE("batch_pro_g.Sic_restart = (open.S_ic*batch_pro_g.V_inoculum+",T27,"*batch_pro_g.V_add)/batch_pro_g.V_liq;")</f>
        <v>batch_pro_g.Sic_restart = (open.S_ic*batch_pro_g.V_inoculum+0.00824594430991556*batch_pro_g.V_add)/batch_pro_g.V_liq;</v>
      </c>
    </row>
    <row r="28" spans="1:21" ht="18" customHeight="1" x14ac:dyDescent="0.3">
      <c r="A28" s="8" t="s">
        <v>122</v>
      </c>
      <c r="B28" s="17">
        <v>112</v>
      </c>
      <c r="C28" s="7" t="s">
        <v>119</v>
      </c>
      <c r="E28" s="7"/>
      <c r="F28" s="7"/>
      <c r="G28" s="7"/>
      <c r="H28" s="7"/>
      <c r="I28" s="7"/>
      <c r="K28" s="8" t="s">
        <v>57</v>
      </c>
      <c r="L28" s="26">
        <f>(1-$L$27)*$L$26</f>
        <v>0</v>
      </c>
      <c r="M28" s="7" t="s">
        <v>107</v>
      </c>
      <c r="O28" s="8" t="s">
        <v>57</v>
      </c>
      <c r="P28" s="26">
        <f>(1-$P$27)*$P$26</f>
        <v>0</v>
      </c>
      <c r="Q28" s="7" t="s">
        <v>107</v>
      </c>
      <c r="S28" s="22" t="s">
        <v>123</v>
      </c>
      <c r="T28" s="25">
        <f>(L44*$H$4/1000+P44*($H$2+$H$3)/1000)/($H$2+$H$3+$H$4)*1000</f>
        <v>0</v>
      </c>
      <c r="U28" s="18" t="str">
        <f>CONCATENATE("batch_pro_g.Sin_restart = (open.S_in*batch_pro_g.V_inoculum+",T28,"*batch_pro_g.V_add)/batch_pro_g.V_liq;")</f>
        <v>batch_pro_g.Sin_restart = (open.S_in*batch_pro_g.V_inoculum+0*batch_pro_g.V_add)/batch_pro_g.V_liq;</v>
      </c>
    </row>
    <row r="29" spans="1:21" ht="18" customHeight="1" x14ac:dyDescent="0.3">
      <c r="A29" s="8" t="s">
        <v>124</v>
      </c>
      <c r="B29" s="17">
        <v>160</v>
      </c>
      <c r="C29" s="7" t="s">
        <v>119</v>
      </c>
      <c r="E29" s="7"/>
      <c r="F29" s="7"/>
      <c r="G29" s="7"/>
      <c r="H29" s="7"/>
      <c r="I29" s="7"/>
      <c r="K29" s="8" t="s">
        <v>61</v>
      </c>
      <c r="L29" s="26">
        <f>(1-$L$19)*($L$23-$L$28*$L$16)</f>
        <v>0</v>
      </c>
      <c r="M29" s="7" t="s">
        <v>107</v>
      </c>
      <c r="O29" s="8" t="s">
        <v>61</v>
      </c>
      <c r="P29" s="26">
        <f>(1-$P$19)*($P$23-$P$28*$P$16)</f>
        <v>0</v>
      </c>
      <c r="Q29" s="7" t="s">
        <v>107</v>
      </c>
      <c r="S29" s="8" t="s">
        <v>125</v>
      </c>
      <c r="T29" s="25">
        <f>(L47*$H$4/1000+P47*($H$2+$H$3)/1000)/($H$2+$H$3+$H$4)*1000</f>
        <v>0</v>
      </c>
      <c r="U29" s="18" t="str">
        <f>CONCATENATE("batch_pro_g.Sip_restart = (open.S_ip*batch_pro_g.V_inoculum+",T29,"*batch_pro_g.V_add)/batch_pro_g.V_liq;")</f>
        <v>batch_pro_g.Sip_restart = (open.S_ip*batch_pro_g.V_inoculum+0*batch_pro_g.V_add)/batch_pro_g.V_liq;</v>
      </c>
    </row>
    <row r="30" spans="1:21" ht="18" customHeight="1" x14ac:dyDescent="0.3">
      <c r="A30" s="8" t="s">
        <v>126</v>
      </c>
      <c r="B30" s="17">
        <v>208</v>
      </c>
      <c r="C30" s="7" t="s">
        <v>119</v>
      </c>
      <c r="K30" s="8" t="s">
        <v>66</v>
      </c>
      <c r="L30" s="26">
        <f>($L$19)*($L$23-$L$28*$L$16)</f>
        <v>0</v>
      </c>
      <c r="M30" s="7" t="s">
        <v>107</v>
      </c>
      <c r="O30" s="8" t="s">
        <v>66</v>
      </c>
      <c r="P30" s="26">
        <f>($P$19)*($P$23-$P$28*$P$16)</f>
        <v>0</v>
      </c>
      <c r="Q30" s="7" t="s">
        <v>107</v>
      </c>
      <c r="S30" s="8" t="s">
        <v>127</v>
      </c>
      <c r="T30" s="25">
        <f>N80</f>
        <v>7.4829096967321762E-2</v>
      </c>
      <c r="U30" s="18" t="str">
        <f>CONCATENATE("batch_pro_g.Scat_restart = (open.S_cat*batch_pro_g.V_inoculum+",T30,"*batch_pro_g.V_add)/batch_pro_g.V_liq;")</f>
        <v>batch_pro_g.Scat_restart = (open.S_cat*batch_pro_g.V_inoculum+0.0748290969673218*batch_pro_g.V_add)/batch_pro_g.V_liq;</v>
      </c>
    </row>
    <row r="31" spans="1:21" ht="18" customHeight="1" x14ac:dyDescent="0.3">
      <c r="K31" s="8" t="s">
        <v>71</v>
      </c>
      <c r="L31" s="26">
        <f>(1-$L$20)*($L$24-$L$28*$L$17)</f>
        <v>0</v>
      </c>
      <c r="M31" s="7" t="s">
        <v>107</v>
      </c>
      <c r="O31" s="8" t="s">
        <v>71</v>
      </c>
      <c r="P31" s="26">
        <f>(1-$P$20)*($P$24-$P$28*$P$17)</f>
        <v>0</v>
      </c>
      <c r="Q31" s="7" t="s">
        <v>107</v>
      </c>
      <c r="S31" s="8" t="s">
        <v>128</v>
      </c>
      <c r="T31" s="30">
        <v>0</v>
      </c>
      <c r="U31" s="18" t="str">
        <f>CONCATENATE("batch_pro_g.Sca_restart = (open.S_ca*batch_pro_g.V_inoculum+",T31,"*batch_pro_g.V_add)/batch_pro_g.V_liq;")</f>
        <v>batch_pro_g.Sca_restart = (open.S_ca*batch_pro_g.V_inoculum+0*batch_pro_g.V_add)/batch_pro_g.V_liq;</v>
      </c>
    </row>
    <row r="32" spans="1:21" ht="18" customHeight="1" x14ac:dyDescent="0.3">
      <c r="K32" s="8" t="s">
        <v>75</v>
      </c>
      <c r="L32" s="26">
        <f>($L$20)*($L$24-$L$28*$L$17)</f>
        <v>0</v>
      </c>
      <c r="M32" s="7" t="s">
        <v>107</v>
      </c>
      <c r="O32" s="8" t="s">
        <v>75</v>
      </c>
      <c r="P32" s="26">
        <f>($P$20)*($P$24-$P$28*$P$17)</f>
        <v>0</v>
      </c>
      <c r="Q32" s="7" t="s">
        <v>107</v>
      </c>
      <c r="S32" s="8" t="s">
        <v>129</v>
      </c>
      <c r="T32" s="30">
        <v>0</v>
      </c>
      <c r="U32" s="18" t="str">
        <f>CONCATENATE("batch_pro_g.Smg_restart = (open.S_mg*batch_pro_g.V_inoculum+",T32,"*batch_pro_g.V_add)/batch_pro_g.V_liq;")</f>
        <v>batch_pro_g.Smg_restart = (open.S_mg*batch_pro_g.V_inoculum+0*batch_pro_g.V_add)/batch_pro_g.V_liq;</v>
      </c>
    </row>
    <row r="33" spans="1:21" ht="18" customHeight="1" x14ac:dyDescent="0.3">
      <c r="K33" s="8" t="s">
        <v>80</v>
      </c>
      <c r="L33" s="26">
        <f>($L$25-$L$28*$L$18)</f>
        <v>0</v>
      </c>
      <c r="M33" s="7" t="s">
        <v>107</v>
      </c>
      <c r="O33" s="8" t="s">
        <v>80</v>
      </c>
      <c r="P33" s="26">
        <f>($P$25-$P$28*$P$18)</f>
        <v>0</v>
      </c>
      <c r="Q33" s="7" t="s">
        <v>107</v>
      </c>
      <c r="S33" s="8" t="s">
        <v>130</v>
      </c>
      <c r="T33" s="25">
        <f>N79</f>
        <v>0.04</v>
      </c>
      <c r="U33" s="18" t="str">
        <f>CONCATENATE("batch_pro_g.San_restart = (open.S_an*batch_pro_g.V_inoculum+",T33,"*batch_pro_g.V_add)/batch_pro_g.V_liq;")</f>
        <v>batch_pro_g.San_restart = (open.S_an*batch_pro_g.V_inoculum+0.04*batch_pro_g.V_add)/batch_pro_g.V_liq;</v>
      </c>
    </row>
    <row r="34" spans="1:21" ht="18" customHeight="1" x14ac:dyDescent="0.3">
      <c r="K34" s="8" t="s">
        <v>100</v>
      </c>
      <c r="L34" s="13">
        <f>L11</f>
        <v>0</v>
      </c>
      <c r="M34" s="7" t="s">
        <v>107</v>
      </c>
      <c r="O34" s="8" t="s">
        <v>100</v>
      </c>
      <c r="P34" s="13">
        <f>P11</f>
        <v>0</v>
      </c>
      <c r="Q34" s="7" t="s">
        <v>107</v>
      </c>
      <c r="S34" s="8" t="s">
        <v>131</v>
      </c>
      <c r="T34" s="7">
        <v>0</v>
      </c>
      <c r="U34" s="18" t="str">
        <f>CONCATENATE("batch_pro_g.ash_restart = (open.ash*batch_pro_g.V_inoculum+",T34,"*batch_pro_g.V_add)/batch_pro_g.V_liq;")</f>
        <v>batch_pro_g.ash_restart = (open.ash*batch_pro_g.V_inoculum+0*batch_pro_g.V_add)/batch_pro_g.V_liq;</v>
      </c>
    </row>
    <row r="35" spans="1:21" ht="18" customHeight="1" x14ac:dyDescent="0.3">
      <c r="A35" s="2"/>
      <c r="K35" s="8" t="s">
        <v>104</v>
      </c>
      <c r="L35" s="13">
        <f>L10</f>
        <v>0</v>
      </c>
      <c r="M35" s="7" t="s">
        <v>107</v>
      </c>
      <c r="O35" s="8" t="s">
        <v>104</v>
      </c>
      <c r="P35" s="13">
        <f>P10</f>
        <v>0</v>
      </c>
      <c r="Q35" s="7" t="s">
        <v>107</v>
      </c>
      <c r="S35" s="8" t="s">
        <v>132</v>
      </c>
      <c r="T35" s="7">
        <v>0</v>
      </c>
      <c r="U35" s="18" t="str">
        <f>CONCATENATE("batch_pro_g.Xlig_restart = (open.X_lig*batch_pro_g.V_inoculum+",T35,"*batch_pro_g.V_add)/batch_pro_g.V_liq;")</f>
        <v>batch_pro_g.Xlig_restart = (open.X_lig*batch_pro_g.V_inoculum+0*batch_pro_g.V_add)/batch_pro_g.V_liq;</v>
      </c>
    </row>
    <row r="36" spans="1:21" ht="18" customHeight="1" x14ac:dyDescent="0.3">
      <c r="K36" s="8" t="s">
        <v>108</v>
      </c>
      <c r="L36" s="13">
        <f>L9</f>
        <v>88</v>
      </c>
      <c r="M36" s="7" t="s">
        <v>107</v>
      </c>
      <c r="O36" s="8" t="s">
        <v>108</v>
      </c>
      <c r="P36" s="13">
        <f>P9</f>
        <v>0</v>
      </c>
      <c r="Q36" s="7" t="s">
        <v>107</v>
      </c>
    </row>
    <row r="37" spans="1:21" ht="18" customHeight="1" x14ac:dyDescent="0.3">
      <c r="K37" s="8" t="s">
        <v>111</v>
      </c>
      <c r="L37" s="13">
        <f>L8</f>
        <v>0</v>
      </c>
      <c r="M37" s="7" t="s">
        <v>107</v>
      </c>
      <c r="O37" s="8" t="s">
        <v>111</v>
      </c>
      <c r="P37" s="13">
        <f>P8</f>
        <v>0</v>
      </c>
      <c r="Q37" s="7" t="s">
        <v>107</v>
      </c>
    </row>
    <row r="38" spans="1:21" ht="18" customHeight="1" x14ac:dyDescent="0.3">
      <c r="K38" s="2" t="s">
        <v>133</v>
      </c>
      <c r="L38" s="20">
        <f>IF(L14=0,0,(10^(-L14)))</f>
        <v>9.9999999999999995E-8</v>
      </c>
      <c r="M38" s="1" t="s">
        <v>51</v>
      </c>
      <c r="O38" s="2" t="s">
        <v>133</v>
      </c>
      <c r="P38" s="20">
        <f>IF(P14=0,0,(10^(-P14)))</f>
        <v>2.5118864315095751E-8</v>
      </c>
      <c r="Q38" s="1" t="s">
        <v>51</v>
      </c>
    </row>
    <row r="39" spans="1:21" ht="18" customHeight="1" x14ac:dyDescent="0.3">
      <c r="K39" s="2" t="s">
        <v>134</v>
      </c>
      <c r="L39" s="20">
        <f>IF(L14=0,0,$H$18/L38)</f>
        <v>1.0000000000000001E-7</v>
      </c>
      <c r="M39" s="1" t="s">
        <v>51</v>
      </c>
      <c r="O39" s="2" t="s">
        <v>134</v>
      </c>
      <c r="P39" s="20">
        <f>IF(P14=0,0,$H$18/P38)</f>
        <v>3.9810717055349803E-7</v>
      </c>
      <c r="Q39" s="1" t="s">
        <v>51</v>
      </c>
    </row>
    <row r="40" spans="1:21" ht="18" customHeight="1" x14ac:dyDescent="0.3">
      <c r="A40" s="8"/>
      <c r="K40" s="2" t="s">
        <v>135</v>
      </c>
      <c r="L40" s="20">
        <f>L8/$B$27*$H$9/(L38+$H$9)</f>
        <v>0</v>
      </c>
      <c r="M40" s="1" t="s">
        <v>51</v>
      </c>
      <c r="O40" s="2" t="s">
        <v>135</v>
      </c>
      <c r="P40" s="20">
        <f>P8/$B$27*$H$9/(P38+$H$9)</f>
        <v>0</v>
      </c>
      <c r="Q40" s="1" t="s">
        <v>51</v>
      </c>
    </row>
    <row r="41" spans="1:21" ht="18" customHeight="1" x14ac:dyDescent="0.3">
      <c r="K41" s="2" t="s">
        <v>136</v>
      </c>
      <c r="L41" s="20">
        <f>L9/$B$28*$H$10/(L38+$H$10)</f>
        <v>0.77979890608242153</v>
      </c>
      <c r="M41" s="1" t="s">
        <v>51</v>
      </c>
      <c r="O41" s="2" t="s">
        <v>136</v>
      </c>
      <c r="P41" s="20">
        <f>P9/$B$28*$H$10/(P38+$H$10)</f>
        <v>0</v>
      </c>
      <c r="Q41" s="1" t="s">
        <v>51</v>
      </c>
    </row>
    <row r="42" spans="1:21" ht="18" customHeight="1" x14ac:dyDescent="0.3">
      <c r="K42" s="2" t="s">
        <v>137</v>
      </c>
      <c r="L42" s="20">
        <f>L10/$B$29*$H$11/(L38+$H$11)</f>
        <v>0</v>
      </c>
      <c r="M42" s="1" t="s">
        <v>51</v>
      </c>
      <c r="O42" s="2" t="s">
        <v>137</v>
      </c>
      <c r="P42" s="20">
        <f>P10/$B$29*$H$11/(P38+$H$11)</f>
        <v>0</v>
      </c>
      <c r="Q42" s="1" t="s">
        <v>51</v>
      </c>
    </row>
    <row r="43" spans="1:21" ht="18" customHeight="1" x14ac:dyDescent="0.3">
      <c r="K43" s="2" t="s">
        <v>138</v>
      </c>
      <c r="L43" s="20">
        <f>L11/$B$30*$H$12/(L38+$H$12)</f>
        <v>0</v>
      </c>
      <c r="M43" s="1" t="s">
        <v>51</v>
      </c>
      <c r="O43" s="2" t="s">
        <v>138</v>
      </c>
      <c r="P43" s="20">
        <f>P11/$B$30*$H$12/(P38+$H$12)</f>
        <v>0</v>
      </c>
      <c r="Q43" s="1" t="s">
        <v>51</v>
      </c>
    </row>
    <row r="44" spans="1:21" ht="18" customHeight="1" x14ac:dyDescent="0.3">
      <c r="K44" s="2" t="s">
        <v>123</v>
      </c>
      <c r="L44" s="20">
        <f>L12/$B$15/1000</f>
        <v>0</v>
      </c>
      <c r="M44" s="1" t="s">
        <v>51</v>
      </c>
      <c r="O44" s="2" t="s">
        <v>123</v>
      </c>
      <c r="P44" s="20">
        <f>P12/$B$15/1000</f>
        <v>0</v>
      </c>
      <c r="Q44" s="1" t="s">
        <v>51</v>
      </c>
    </row>
    <row r="45" spans="1:21" ht="18" customHeight="1" x14ac:dyDescent="0.3">
      <c r="K45" s="2" t="s">
        <v>139</v>
      </c>
      <c r="L45" s="20">
        <f>L44*L38/($H$14+L38)</f>
        <v>0</v>
      </c>
      <c r="M45" s="1" t="s">
        <v>51</v>
      </c>
      <c r="O45" s="2" t="s">
        <v>139</v>
      </c>
      <c r="P45" s="20">
        <f>P44*P38/($H$14+P38)</f>
        <v>0</v>
      </c>
      <c r="Q45" s="1" t="s">
        <v>51</v>
      </c>
    </row>
    <row r="46" spans="1:21" ht="18" customHeight="1" x14ac:dyDescent="0.3">
      <c r="K46" s="2" t="s">
        <v>140</v>
      </c>
      <c r="L46" s="20">
        <f>L44-L45</f>
        <v>0</v>
      </c>
      <c r="M46" s="1" t="s">
        <v>51</v>
      </c>
      <c r="O46" s="2" t="s">
        <v>140</v>
      </c>
      <c r="P46" s="20">
        <f>P44-P45</f>
        <v>0</v>
      </c>
      <c r="Q46" s="1" t="s">
        <v>51</v>
      </c>
    </row>
    <row r="47" spans="1:21" ht="18" customHeight="1" x14ac:dyDescent="0.3">
      <c r="K47" s="2" t="s">
        <v>125</v>
      </c>
      <c r="L47" s="20">
        <f>L13/$B$16/1000</f>
        <v>0</v>
      </c>
      <c r="M47" s="6" t="s">
        <v>51</v>
      </c>
      <c r="O47" s="2" t="s">
        <v>125</v>
      </c>
      <c r="P47" s="20">
        <f>P13/$B$16/1000</f>
        <v>0</v>
      </c>
      <c r="Q47" s="6" t="s">
        <v>51</v>
      </c>
    </row>
    <row r="48" spans="1:21" ht="18" customHeight="1" x14ac:dyDescent="0.3">
      <c r="K48" s="2" t="s">
        <v>141</v>
      </c>
      <c r="L48" s="20">
        <f>$H$15*L47/($H$15+L38+L38^2/$H$16+L38^3/($H$16*$H$17))</f>
        <v>0</v>
      </c>
      <c r="M48" s="6" t="s">
        <v>51</v>
      </c>
      <c r="O48" s="2" t="s">
        <v>141</v>
      </c>
      <c r="P48" s="20">
        <f>$H$15*P47/($H$15+P38+P38^2/$H$16+P38^3/($H$16*$H$17))</f>
        <v>0</v>
      </c>
      <c r="Q48" s="6" t="s">
        <v>51</v>
      </c>
    </row>
    <row r="49" spans="11:17" ht="18" customHeight="1" x14ac:dyDescent="0.3">
      <c r="K49" s="2" t="s">
        <v>142</v>
      </c>
      <c r="L49" s="27">
        <f>$H$16*L47/($H$15*$H$16/L38+$H$16+L38+(L38^2)/$H$17)</f>
        <v>0</v>
      </c>
      <c r="M49" s="6" t="s">
        <v>51</v>
      </c>
      <c r="O49" s="2" t="s">
        <v>142</v>
      </c>
      <c r="P49" s="20">
        <f>$H$16*P47/($H$15*$H$16/P38+$H$16+P38+(P38^2)/$H$17)</f>
        <v>0</v>
      </c>
      <c r="Q49" s="6" t="s">
        <v>51</v>
      </c>
    </row>
    <row r="50" spans="11:17" ht="18" customHeight="1" x14ac:dyDescent="0.3">
      <c r="K50" s="2" t="s">
        <v>143</v>
      </c>
      <c r="L50" s="27">
        <f>L47*$H$17/(L38+$H$17+$H$17*$H$16/L38+$H$17*$H$16*$H$15/(L38^2))</f>
        <v>0</v>
      </c>
      <c r="M50" s="6" t="s">
        <v>51</v>
      </c>
      <c r="O50" s="2" t="s">
        <v>143</v>
      </c>
      <c r="P50" s="20">
        <f>P47*$H$17/(P38+$H$17+$H$17*$H$16/P38+$H$17*$H$16*$H$15/(P38^2))</f>
        <v>0</v>
      </c>
      <c r="Q50" s="6" t="s">
        <v>51</v>
      </c>
    </row>
    <row r="51" spans="11:17" ht="18" customHeight="1" x14ac:dyDescent="0.3">
      <c r="K51" s="2" t="s">
        <v>144</v>
      </c>
      <c r="L51" s="20">
        <f>L47-L48-L49-L50</f>
        <v>0</v>
      </c>
      <c r="M51" s="6" t="s">
        <v>51</v>
      </c>
      <c r="O51" s="2" t="s">
        <v>144</v>
      </c>
      <c r="P51" s="20">
        <f>P47-P48-P49-P50</f>
        <v>0</v>
      </c>
      <c r="Q51" s="6" t="s">
        <v>51</v>
      </c>
    </row>
    <row r="52" spans="11:17" ht="18" customHeight="1" x14ac:dyDescent="0.3">
      <c r="K52" s="2" t="s">
        <v>145</v>
      </c>
      <c r="L52" s="24">
        <f>L15/$B$13*2/1000</f>
        <v>0</v>
      </c>
      <c r="M52" s="1" t="s">
        <v>51</v>
      </c>
      <c r="O52" s="2" t="s">
        <v>145</v>
      </c>
      <c r="P52" s="24">
        <f>P15/$B$13*2/1000</f>
        <v>8.0879999999999997E-3</v>
      </c>
      <c r="Q52" s="1" t="s">
        <v>51</v>
      </c>
    </row>
    <row r="53" spans="11:17" ht="18" customHeight="1" x14ac:dyDescent="0.3">
      <c r="K53" s="2" t="s">
        <v>146</v>
      </c>
      <c r="L53" s="24">
        <f>L52-SUM(L40:L43)-L39+L38-L46-L49-2*L48+L51</f>
        <v>-0.77979890608242153</v>
      </c>
      <c r="M53" s="1" t="s">
        <v>51</v>
      </c>
      <c r="O53" s="2" t="s">
        <v>146</v>
      </c>
      <c r="P53" s="24">
        <f>P52-SUM(P40:P43)-P39+P38-P46-P49-2*P48+P51</f>
        <v>8.0876270116937606E-3</v>
      </c>
      <c r="Q53" s="1" t="s">
        <v>51</v>
      </c>
    </row>
    <row r="54" spans="11:17" ht="18" customHeight="1" x14ac:dyDescent="0.3">
      <c r="K54" s="2" t="s">
        <v>121</v>
      </c>
      <c r="L54" s="24">
        <f>L53*(L38+$H$13)/$H$13</f>
        <v>-0.9543741355703399</v>
      </c>
      <c r="M54" s="1" t="s">
        <v>51</v>
      </c>
      <c r="O54" s="2" t="s">
        <v>121</v>
      </c>
      <c r="P54" s="24">
        <f>P53*(P38+$H$13)/$H$13</f>
        <v>8.5424277008338718E-3</v>
      </c>
      <c r="Q54" s="1" t="s">
        <v>51</v>
      </c>
    </row>
    <row r="55" spans="11:17" ht="18" customHeight="1" x14ac:dyDescent="0.3">
      <c r="K55" s="2" t="s">
        <v>147</v>
      </c>
      <c r="L55" s="24">
        <f>L54-L53</f>
        <v>-0.17457522948791837</v>
      </c>
      <c r="M55" s="1" t="s">
        <v>51</v>
      </c>
      <c r="O55" s="2" t="s">
        <v>147</v>
      </c>
      <c r="P55" s="24">
        <f>P54-P53</f>
        <v>4.5480068914011129E-4</v>
      </c>
      <c r="Q55" s="1" t="s">
        <v>51</v>
      </c>
    </row>
    <row r="56" spans="11:17" ht="18" customHeight="1" x14ac:dyDescent="0.3">
      <c r="K56" s="2" t="s">
        <v>148</v>
      </c>
      <c r="L56" s="23">
        <f>L38-L39-L40-L41-L42-L43+L45-3*L48-2*L49-L50+L57</f>
        <v>0.5942564260996035</v>
      </c>
      <c r="M56" s="1" t="s">
        <v>149</v>
      </c>
      <c r="O56" s="2" t="s">
        <v>148</v>
      </c>
      <c r="P56" s="23">
        <f>P38-P39-P40-P41-P42-P43+P45-3*P48-2*P49-P50+P57</f>
        <v>-8.838331682324711E-8</v>
      </c>
      <c r="Q56" s="1" t="s">
        <v>149</v>
      </c>
    </row>
    <row r="57" spans="11:17" ht="18" customHeight="1" x14ac:dyDescent="0.3">
      <c r="K57" s="2" t="s">
        <v>150</v>
      </c>
      <c r="L57" s="4">
        <v>1.374055332182025</v>
      </c>
      <c r="M57" s="1" t="s">
        <v>51</v>
      </c>
      <c r="O57" s="2" t="s">
        <v>150</v>
      </c>
      <c r="P57" s="4">
        <v>2.8460498941515519E-7</v>
      </c>
      <c r="Q57" s="1" t="s">
        <v>51</v>
      </c>
    </row>
    <row r="58" spans="11:17" ht="18" customHeight="1" x14ac:dyDescent="0.3">
      <c r="K58" s="2" t="s">
        <v>130</v>
      </c>
      <c r="L58" s="28">
        <v>0.02</v>
      </c>
      <c r="M58" s="1" t="s">
        <v>51</v>
      </c>
      <c r="O58" s="2" t="s">
        <v>130</v>
      </c>
      <c r="P58" s="28">
        <v>0.02</v>
      </c>
      <c r="Q58" s="1" t="s">
        <v>51</v>
      </c>
    </row>
    <row r="59" spans="11:17" ht="18" customHeight="1" x14ac:dyDescent="0.3">
      <c r="K59" s="2" t="s">
        <v>127</v>
      </c>
      <c r="L59" s="29">
        <f>L57+L58</f>
        <v>1.394055332182025</v>
      </c>
      <c r="M59" s="1" t="s">
        <v>51</v>
      </c>
      <c r="O59" s="2" t="s">
        <v>127</v>
      </c>
      <c r="P59" s="29">
        <f>P57+P58</f>
        <v>2.0000284604989416E-2</v>
      </c>
      <c r="Q59" s="1" t="s">
        <v>51</v>
      </c>
    </row>
    <row r="62" spans="11:17" ht="18" customHeight="1" x14ac:dyDescent="0.3">
      <c r="M62" s="36" t="s">
        <v>151</v>
      </c>
      <c r="N62" s="36"/>
      <c r="O62" s="36"/>
    </row>
    <row r="63" spans="11:17" ht="18" customHeight="1" x14ac:dyDescent="0.3">
      <c r="M63" s="2" t="s">
        <v>133</v>
      </c>
      <c r="N63" s="20">
        <f>(L38*$H$4/1000+P38*($H$2+$H$3)/1000)/($H$2+$H$3+$H$4)*1000</f>
        <v>2.7717775748845138E-8</v>
      </c>
      <c r="O63" s="1" t="s">
        <v>51</v>
      </c>
    </row>
    <row r="64" spans="11:17" ht="18" customHeight="1" x14ac:dyDescent="0.3">
      <c r="M64" s="2" t="s">
        <v>134</v>
      </c>
      <c r="N64" s="20">
        <f>$H$18/N63</f>
        <v>3.6077930966075623E-7</v>
      </c>
      <c r="O64" s="1" t="s">
        <v>51</v>
      </c>
    </row>
    <row r="65" spans="13:15" ht="18" customHeight="1" x14ac:dyDescent="0.3">
      <c r="M65" s="2" t="s">
        <v>135</v>
      </c>
      <c r="N65" s="20">
        <f>(L40*$H$4/1000+P40*($H$2+$H$3)/1000)/($H$2+$H$3+$H$4)*1000</f>
        <v>0</v>
      </c>
      <c r="O65" s="1" t="s">
        <v>51</v>
      </c>
    </row>
    <row r="66" spans="13:15" ht="18" customHeight="1" x14ac:dyDescent="0.3">
      <c r="M66" s="2" t="s">
        <v>136</v>
      </c>
      <c r="N66" s="20">
        <f t="shared" ref="N66:N68" si="2">(L41*$H$4/1000+P41*($H$2+$H$3)/1000)/($H$2+$H$3+$H$4)*1000</f>
        <v>2.7064604115658881E-2</v>
      </c>
      <c r="O66" s="1" t="s">
        <v>51</v>
      </c>
    </row>
    <row r="67" spans="13:15" ht="18" customHeight="1" x14ac:dyDescent="0.3">
      <c r="M67" s="2" t="s">
        <v>137</v>
      </c>
      <c r="N67" s="20">
        <f t="shared" si="2"/>
        <v>0</v>
      </c>
      <c r="O67" s="1" t="s">
        <v>51</v>
      </c>
    </row>
    <row r="68" spans="13:15" ht="18" customHeight="1" x14ac:dyDescent="0.3">
      <c r="M68" s="2" t="s">
        <v>138</v>
      </c>
      <c r="N68" s="20">
        <f t="shared" si="2"/>
        <v>0</v>
      </c>
      <c r="O68" s="1" t="s">
        <v>51</v>
      </c>
    </row>
    <row r="69" spans="13:15" ht="18" customHeight="1" x14ac:dyDescent="0.3">
      <c r="M69" s="2" t="s">
        <v>139</v>
      </c>
      <c r="N69" s="20">
        <f>T28*N63/($H$14+N63)</f>
        <v>0</v>
      </c>
      <c r="O69" s="1" t="s">
        <v>51</v>
      </c>
    </row>
    <row r="70" spans="13:15" ht="18" customHeight="1" x14ac:dyDescent="0.3">
      <c r="M70" s="2" t="s">
        <v>140</v>
      </c>
      <c r="N70" s="20">
        <f>T28-N69</f>
        <v>0</v>
      </c>
      <c r="O70" s="1" t="s">
        <v>51</v>
      </c>
    </row>
    <row r="71" spans="13:15" ht="18" customHeight="1" x14ac:dyDescent="0.3">
      <c r="M71" s="2" t="s">
        <v>141</v>
      </c>
      <c r="N71" s="20">
        <f>$H$15*T29/($H$15+N63+N63^2/$H$16+N63^3/($H$16*$H$17))</f>
        <v>0</v>
      </c>
      <c r="O71" s="6" t="s">
        <v>51</v>
      </c>
    </row>
    <row r="72" spans="13:15" ht="18" customHeight="1" x14ac:dyDescent="0.3">
      <c r="M72" s="2" t="s">
        <v>142</v>
      </c>
      <c r="N72" s="20">
        <f>$H$16*T29/($H$15*$H$16/N63+$H$16+N63+(N63^2)/$H$17)</f>
        <v>0</v>
      </c>
      <c r="O72" s="6" t="s">
        <v>51</v>
      </c>
    </row>
    <row r="73" spans="13:15" ht="18" customHeight="1" x14ac:dyDescent="0.3">
      <c r="M73" s="2" t="s">
        <v>143</v>
      </c>
      <c r="N73" s="20">
        <f>T29*$H$17/(N63+$H$17+$H$17*$H$16/N63+$H$17*$H$16*$H$15/(N63^2))</f>
        <v>0</v>
      </c>
      <c r="O73" s="6" t="s">
        <v>51</v>
      </c>
    </row>
    <row r="74" spans="13:15" ht="18" customHeight="1" x14ac:dyDescent="0.3">
      <c r="M74" s="2" t="s">
        <v>144</v>
      </c>
      <c r="N74" s="20">
        <f>T29-N71-N72-N73</f>
        <v>0</v>
      </c>
      <c r="O74" s="6" t="s">
        <v>51</v>
      </c>
    </row>
    <row r="75" spans="13:15" ht="18" customHeight="1" x14ac:dyDescent="0.3">
      <c r="M75" s="2" t="s">
        <v>146</v>
      </c>
      <c r="N75" s="24">
        <f>T27*$H$13/($H$13+N63)</f>
        <v>7.7641597901289819E-3</v>
      </c>
      <c r="O75" s="1" t="s">
        <v>51</v>
      </c>
    </row>
    <row r="76" spans="13:15" ht="18" customHeight="1" x14ac:dyDescent="0.3">
      <c r="M76" s="2" t="s">
        <v>147</v>
      </c>
      <c r="N76" s="24">
        <f>T27-N75</f>
        <v>4.8178451978657822E-4</v>
      </c>
      <c r="O76" s="1" t="s">
        <v>51</v>
      </c>
    </row>
    <row r="77" spans="13:15" ht="18" customHeight="1" x14ac:dyDescent="0.3">
      <c r="M77" s="2" t="s">
        <v>148</v>
      </c>
      <c r="N77" s="23">
        <f>N63-N64-N65-N66-N67-N68+N69-3*N71-2*N72-N73+N78-N75</f>
        <v>0</v>
      </c>
      <c r="O77" s="1" t="s">
        <v>149</v>
      </c>
    </row>
    <row r="78" spans="13:15" ht="18" customHeight="1" x14ac:dyDescent="0.3">
      <c r="M78" s="2" t="s">
        <v>150</v>
      </c>
      <c r="N78" s="4">
        <v>3.4829096967321768E-2</v>
      </c>
      <c r="O78" s="1" t="s">
        <v>51</v>
      </c>
    </row>
    <row r="79" spans="13:15" ht="18" customHeight="1" x14ac:dyDescent="0.3">
      <c r="M79" s="2" t="s">
        <v>130</v>
      </c>
      <c r="N79" s="28">
        <v>0.04</v>
      </c>
      <c r="O79" s="1" t="s">
        <v>51</v>
      </c>
    </row>
    <row r="80" spans="13:15" ht="18" customHeight="1" x14ac:dyDescent="0.3">
      <c r="M80" s="2" t="s">
        <v>127</v>
      </c>
      <c r="N80" s="29">
        <f>N78+N79</f>
        <v>7.4829096967321762E-2</v>
      </c>
      <c r="O80" s="1" t="s">
        <v>51</v>
      </c>
    </row>
  </sheetData>
  <mergeCells count="9">
    <mergeCell ref="S1:U1"/>
    <mergeCell ref="G8:I8"/>
    <mergeCell ref="K22:M22"/>
    <mergeCell ref="O22:Q22"/>
    <mergeCell ref="M62:O62"/>
    <mergeCell ref="A1:C1"/>
    <mergeCell ref="G1:I1"/>
    <mergeCell ref="K1:M1"/>
    <mergeCell ref="O1:Q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BD0E-3160-42E5-A9DD-1AC264F595E5}">
  <dimension ref="A1:U80"/>
  <sheetViews>
    <sheetView topLeftCell="A65" zoomScale="85" zoomScaleNormal="85" workbookViewId="0">
      <selection activeCell="R63" sqref="R63"/>
    </sheetView>
  </sheetViews>
  <sheetFormatPr defaultColWidth="8.88671875" defaultRowHeight="18" customHeight="1" x14ac:dyDescent="0.3"/>
  <cols>
    <col min="1" max="21" width="10.6640625" style="6" customWidth="1"/>
    <col min="22" max="16384" width="8.88671875" style="6"/>
  </cols>
  <sheetData>
    <row r="1" spans="1:21" ht="18" customHeight="1" x14ac:dyDescent="0.3">
      <c r="A1" s="37" t="s">
        <v>0</v>
      </c>
      <c r="B1" s="37"/>
      <c r="C1" s="37"/>
      <c r="G1" s="38" t="s">
        <v>1</v>
      </c>
      <c r="H1" s="38"/>
      <c r="I1" s="38"/>
      <c r="K1" s="38" t="s">
        <v>2</v>
      </c>
      <c r="L1" s="38"/>
      <c r="M1" s="38"/>
      <c r="N1" s="7"/>
      <c r="O1" s="38" t="s">
        <v>3</v>
      </c>
      <c r="P1" s="38"/>
      <c r="Q1" s="38"/>
      <c r="S1" s="35" t="s">
        <v>4</v>
      </c>
      <c r="T1" s="35"/>
      <c r="U1" s="35"/>
    </row>
    <row r="2" spans="1:21" ht="18" customHeight="1" x14ac:dyDescent="0.3">
      <c r="A2" s="2" t="s">
        <v>5</v>
      </c>
      <c r="B2" s="9">
        <f>32*6/180</f>
        <v>1.0666666666666667</v>
      </c>
      <c r="C2" s="3" t="s">
        <v>6</v>
      </c>
      <c r="D2" s="7" t="s">
        <v>7</v>
      </c>
      <c r="G2" s="2" t="s">
        <v>8</v>
      </c>
      <c r="H2" s="11">
        <v>404</v>
      </c>
      <c r="I2" s="7" t="s">
        <v>9</v>
      </c>
      <c r="K2" s="2" t="s">
        <v>10</v>
      </c>
      <c r="L2" s="11">
        <v>0</v>
      </c>
      <c r="M2" s="7" t="s">
        <v>11</v>
      </c>
      <c r="N2" s="7"/>
      <c r="O2" s="2" t="s">
        <v>10</v>
      </c>
      <c r="P2" s="11">
        <v>0</v>
      </c>
      <c r="Q2" s="7" t="s">
        <v>11</v>
      </c>
      <c r="S2" s="8" t="s">
        <v>12</v>
      </c>
      <c r="T2" s="7">
        <v>0</v>
      </c>
      <c r="U2" s="18" t="str">
        <f>CONCATENATE("batch_pro_h.Xsu_restart = (open.X_su*batch_pro_h.V_inoculum+",T2,"*batch_pro_h.V_add)/batch_pro_h.V_liq;")</f>
        <v>batch_pro_h.Xsu_restart = (open.X_su*batch_pro_h.V_inoculum+0*batch_pro_h.V_add)/batch_pro_h.V_liq;</v>
      </c>
    </row>
    <row r="3" spans="1:21" ht="18" customHeight="1" x14ac:dyDescent="0.3">
      <c r="A3" s="2" t="s">
        <v>13</v>
      </c>
      <c r="B3" s="9">
        <v>1.58</v>
      </c>
      <c r="C3" s="3" t="s">
        <v>14</v>
      </c>
      <c r="D3" s="7" t="s">
        <v>7</v>
      </c>
      <c r="G3" s="2" t="s">
        <v>15</v>
      </c>
      <c r="H3" s="10">
        <v>0</v>
      </c>
      <c r="I3" s="7" t="s">
        <v>9</v>
      </c>
      <c r="K3" s="2" t="s">
        <v>16</v>
      </c>
      <c r="L3" s="11">
        <v>0</v>
      </c>
      <c r="M3" s="7" t="s">
        <v>17</v>
      </c>
      <c r="N3" s="7"/>
      <c r="O3" s="2" t="s">
        <v>16</v>
      </c>
      <c r="P3" s="11">
        <v>0</v>
      </c>
      <c r="Q3" s="7" t="s">
        <v>17</v>
      </c>
      <c r="S3" s="8" t="s">
        <v>18</v>
      </c>
      <c r="T3" s="7">
        <v>0</v>
      </c>
      <c r="U3" s="18" t="str">
        <f>CONCATENATE("batch_pro_h.Xaa_restart = (open.X_aa*batch_pro_h.V_inoculum+",T3,"*batch_pro_h.V_add)/batch_pro_h.V_liq;")</f>
        <v>batch_pro_h.Xaa_restart = (open.X_aa*batch_pro_h.V_inoculum+0*batch_pro_h.V_add)/batch_pro_h.V_liq;</v>
      </c>
    </row>
    <row r="4" spans="1:21" ht="18" customHeight="1" x14ac:dyDescent="0.3">
      <c r="A4" s="2" t="s">
        <v>19</v>
      </c>
      <c r="B4" s="9">
        <v>1.53</v>
      </c>
      <c r="C4" s="3" t="s">
        <v>20</v>
      </c>
      <c r="D4" s="7" t="s">
        <v>7</v>
      </c>
      <c r="G4" s="5" t="s">
        <v>21</v>
      </c>
      <c r="H4" s="11">
        <v>8</v>
      </c>
      <c r="I4" s="7" t="s">
        <v>9</v>
      </c>
      <c r="K4" s="8" t="s">
        <v>22</v>
      </c>
      <c r="L4" s="14">
        <v>0</v>
      </c>
      <c r="M4" s="7" t="s">
        <v>23</v>
      </c>
      <c r="N4" s="7"/>
      <c r="O4" s="8" t="s">
        <v>22</v>
      </c>
      <c r="P4" s="14">
        <v>0</v>
      </c>
      <c r="Q4" s="7" t="s">
        <v>23</v>
      </c>
      <c r="S4" s="8" t="s">
        <v>24</v>
      </c>
      <c r="T4" s="7">
        <v>0</v>
      </c>
      <c r="U4" s="18" t="str">
        <f>CONCATENATE("batch_pro_h.Xfa_restart = (open.X_fa*batch_pro_h.V_inoculum+",T4,"*batch_pro_h.V_add)/batch_pro_h.V_liq;")</f>
        <v>batch_pro_h.Xfa_restart = (open.X_fa*batch_pro_h.V_inoculum+0*batch_pro_h.V_add)/batch_pro_h.V_liq;</v>
      </c>
    </row>
    <row r="5" spans="1:21" ht="18" customHeight="1" x14ac:dyDescent="0.3">
      <c r="A5" s="5" t="s">
        <v>25</v>
      </c>
      <c r="B5" s="9">
        <f>1/0.16</f>
        <v>6.25</v>
      </c>
      <c r="C5" s="3" t="s">
        <v>26</v>
      </c>
      <c r="D5" s="7" t="s">
        <v>7</v>
      </c>
      <c r="G5" s="5" t="s">
        <v>27</v>
      </c>
      <c r="H5" s="11">
        <f>SUM(H2:H4)</f>
        <v>412</v>
      </c>
      <c r="I5" s="7" t="s">
        <v>9</v>
      </c>
      <c r="K5" s="8" t="s">
        <v>28</v>
      </c>
      <c r="L5" s="15">
        <v>0</v>
      </c>
      <c r="M5" s="7" t="s">
        <v>29</v>
      </c>
      <c r="N5" s="7"/>
      <c r="O5" s="8" t="s">
        <v>28</v>
      </c>
      <c r="P5" s="15">
        <v>0</v>
      </c>
      <c r="Q5" s="7" t="s">
        <v>29</v>
      </c>
      <c r="S5" s="8" t="s">
        <v>30</v>
      </c>
      <c r="T5" s="7">
        <v>0</v>
      </c>
      <c r="U5" s="18" t="str">
        <f>CONCATENATE("batch_pro_h.Xc4_restart = (open.X_c4*batch_pro_h.V_inoculum+",T5,"*batch_pro_h.V_add)/batch_pro_h.V_liq;")</f>
        <v>batch_pro_h.Xc4_restart = (open.X_c4*batch_pro_h.V_inoculum+0*batch_pro_h.V_add)/batch_pro_h.V_liq;</v>
      </c>
    </row>
    <row r="6" spans="1:21" ht="18" customHeight="1" x14ac:dyDescent="0.3">
      <c r="A6" s="2" t="s">
        <v>31</v>
      </c>
      <c r="B6" s="9">
        <v>2.83</v>
      </c>
      <c r="C6" s="3" t="s">
        <v>32</v>
      </c>
      <c r="D6" s="7" t="s">
        <v>7</v>
      </c>
      <c r="K6" s="8" t="s">
        <v>33</v>
      </c>
      <c r="L6" s="16">
        <v>0</v>
      </c>
      <c r="M6" s="7" t="s">
        <v>34</v>
      </c>
      <c r="N6" s="7"/>
      <c r="O6" s="8" t="s">
        <v>33</v>
      </c>
      <c r="P6" s="16">
        <v>0</v>
      </c>
      <c r="Q6" s="7" t="s">
        <v>34</v>
      </c>
      <c r="S6" s="8" t="s">
        <v>35</v>
      </c>
      <c r="T6" s="7">
        <v>0</v>
      </c>
      <c r="U6" s="18" t="str">
        <f>CONCATENATE("batch_pro_h.Xpro_restart = (open.X_pro*batch_pro_h.V_inoculum+",T6,"*batch_pro_h.V_add)/batch_pro_h.V_liq;")</f>
        <v>batch_pro_h.Xpro_restart = (open.X_pro*batch_pro_h.V_inoculum+0*batch_pro_h.V_add)/batch_pro_h.V_liq;</v>
      </c>
    </row>
    <row r="7" spans="1:21" ht="18" customHeight="1" x14ac:dyDescent="0.3">
      <c r="A7" s="8" t="s">
        <v>36</v>
      </c>
      <c r="B7" s="9">
        <f>273.15+25</f>
        <v>298.14999999999998</v>
      </c>
      <c r="C7" s="7" t="s">
        <v>37</v>
      </c>
      <c r="D7" s="7" t="s">
        <v>38</v>
      </c>
      <c r="K7" s="8" t="s">
        <v>39</v>
      </c>
      <c r="L7" s="15">
        <v>0</v>
      </c>
      <c r="M7" s="7" t="s">
        <v>40</v>
      </c>
      <c r="N7" s="7"/>
      <c r="O7" s="8" t="s">
        <v>39</v>
      </c>
      <c r="P7" s="15">
        <v>0</v>
      </c>
      <c r="Q7" s="7" t="s">
        <v>40</v>
      </c>
      <c r="S7" s="8" t="s">
        <v>41</v>
      </c>
      <c r="T7" s="7">
        <v>0</v>
      </c>
      <c r="U7" s="18" t="str">
        <f>CONCATENATE("batch_pro_h.Xac_restart = (open.X_ac*batch_pro_h.V_inoculum+",T7,"*batch_pro_h.V_add)/batch_pro_h.V_liq;")</f>
        <v>batch_pro_h.Xac_restart = (open.X_ac*batch_pro_h.V_inoculum+0*batch_pro_h.V_add)/batch_pro_h.V_liq;</v>
      </c>
    </row>
    <row r="8" spans="1:21" ht="18" customHeight="1" x14ac:dyDescent="0.3">
      <c r="A8" s="8" t="s">
        <v>42</v>
      </c>
      <c r="B8" s="9">
        <v>0.08</v>
      </c>
      <c r="C8" s="7" t="s">
        <v>43</v>
      </c>
      <c r="D8" s="7"/>
      <c r="G8" s="36" t="s">
        <v>44</v>
      </c>
      <c r="H8" s="36"/>
      <c r="I8" s="36"/>
      <c r="J8" s="6">
        <f>L9*H4/1000/SUM(H2+H4+H5)*1000</f>
        <v>0.85436893203883491</v>
      </c>
      <c r="K8" s="8" t="s">
        <v>45</v>
      </c>
      <c r="L8" s="16">
        <v>0</v>
      </c>
      <c r="M8" s="7" t="s">
        <v>46</v>
      </c>
      <c r="N8" s="7"/>
      <c r="O8" s="8" t="s">
        <v>45</v>
      </c>
      <c r="P8" s="16">
        <v>0</v>
      </c>
      <c r="Q8" s="7" t="s">
        <v>46</v>
      </c>
      <c r="S8" s="8" t="s">
        <v>47</v>
      </c>
      <c r="T8" s="7">
        <v>0</v>
      </c>
      <c r="U8" s="18" t="str">
        <f>CONCATENATE("batch_pro_h.Xh2_restart = (open.X_h2*batch_pro_h.V_inoculum+",T8,"*batch_pro_h.V_add)/batch_pro_h.V_liq;")</f>
        <v>batch_pro_h.Xh2_restart = (open.X_h2*batch_pro_h.V_inoculum+0*batch_pro_h.V_add)/batch_pro_h.V_liq;</v>
      </c>
    </row>
    <row r="9" spans="1:21" ht="18" customHeight="1" x14ac:dyDescent="0.3">
      <c r="A9" s="8" t="s">
        <v>48</v>
      </c>
      <c r="B9" s="17">
        <v>60</v>
      </c>
      <c r="C9" s="7" t="s">
        <v>49</v>
      </c>
      <c r="G9" s="8" t="s">
        <v>50</v>
      </c>
      <c r="H9" s="19">
        <f t="shared" ref="H9:H18" si="0">10^-B17</f>
        <v>1.7378008287493744E-5</v>
      </c>
      <c r="I9" s="7" t="s">
        <v>51</v>
      </c>
      <c r="K9" s="8" t="s">
        <v>52</v>
      </c>
      <c r="L9" s="16">
        <v>88</v>
      </c>
      <c r="M9" s="7" t="s">
        <v>46</v>
      </c>
      <c r="N9" s="7"/>
      <c r="O9" s="8" t="s">
        <v>52</v>
      </c>
      <c r="P9" s="16">
        <v>0</v>
      </c>
      <c r="Q9" s="7" t="s">
        <v>46</v>
      </c>
      <c r="S9" s="8" t="s">
        <v>53</v>
      </c>
      <c r="T9" s="7">
        <v>0</v>
      </c>
      <c r="U9" s="18" t="str">
        <f>CONCATENATE("batch_pro_h.Xc_restart = (open.X_c*batch_pro_h.V_inoculum+",T9,"*batch_pro_h.V_add)/batch_pro_h.V_liq;")</f>
        <v>batch_pro_h.Xc_restart = (open.X_c*batch_pro_h.V_inoculum+0*batch_pro_h.V_add)/batch_pro_h.V_liq;</v>
      </c>
    </row>
    <row r="10" spans="1:21" ht="18" customHeight="1" x14ac:dyDescent="0.3">
      <c r="A10" s="8" t="s">
        <v>54</v>
      </c>
      <c r="B10" s="17">
        <v>74</v>
      </c>
      <c r="C10" s="7" t="s">
        <v>49</v>
      </c>
      <c r="G10" s="8" t="s">
        <v>55</v>
      </c>
      <c r="H10" s="19">
        <f t="shared" si="0"/>
        <v>1.3182567385564052E-5</v>
      </c>
      <c r="I10" s="7" t="s">
        <v>51</v>
      </c>
      <c r="K10" s="8" t="s">
        <v>56</v>
      </c>
      <c r="L10" s="16">
        <v>0</v>
      </c>
      <c r="M10" s="7" t="s">
        <v>46</v>
      </c>
      <c r="N10" s="7"/>
      <c r="O10" s="8" t="s">
        <v>56</v>
      </c>
      <c r="P10" s="16">
        <v>0</v>
      </c>
      <c r="Q10" s="7" t="s">
        <v>46</v>
      </c>
      <c r="S10" s="8" t="s">
        <v>57</v>
      </c>
      <c r="T10" s="25">
        <f>(L28*$H$4/1000+P28*($H$2+$H$3)/1000)/($H$2+$H$3+$H$4)*1000</f>
        <v>0</v>
      </c>
      <c r="U10" s="18" t="str">
        <f>CONCATENATE("batch_pro_h.Xi_restart = (open.X_i*batch_pro_h.V_inoculum+",L27,"*batch_pro_h.V_add)/batch_pro_h.V_liq;")</f>
        <v>batch_pro_h.Xi_restart = (open.X_i*batch_pro_h.V_inoculum+0*batch_pro_h.V_add)/batch_pro_h.V_liq;</v>
      </c>
    </row>
    <row r="11" spans="1:21" ht="18" customHeight="1" x14ac:dyDescent="0.3">
      <c r="A11" s="8" t="s">
        <v>58</v>
      </c>
      <c r="B11" s="17">
        <v>88</v>
      </c>
      <c r="C11" s="7" t="s">
        <v>49</v>
      </c>
      <c r="G11" s="8" t="s">
        <v>59</v>
      </c>
      <c r="H11" s="19">
        <f t="shared" si="0"/>
        <v>1.5135612484362051E-5</v>
      </c>
      <c r="I11" s="7" t="s">
        <v>51</v>
      </c>
      <c r="K11" s="8" t="s">
        <v>60</v>
      </c>
      <c r="L11" s="16">
        <v>0</v>
      </c>
      <c r="M11" s="7" t="s">
        <v>46</v>
      </c>
      <c r="N11" s="7"/>
      <c r="O11" s="8" t="s">
        <v>60</v>
      </c>
      <c r="P11" s="16">
        <v>0</v>
      </c>
      <c r="Q11" s="7" t="s">
        <v>46</v>
      </c>
      <c r="S11" s="8" t="s">
        <v>61</v>
      </c>
      <c r="T11" s="25">
        <f>(L29*$H$4/1000+P29*($H$2+$H$3)/1000)/($H$2+$H$3+$H$4)*1000</f>
        <v>0</v>
      </c>
      <c r="U11" s="18" t="str">
        <f>CONCATENATE("batch_pro_h.Xch1_restart = (open.X_ch[1]*batch_pro_h.V_inoculum+",T11,"*batch_pro_h.V_add)/batch_pro_h.V_liq;")</f>
        <v>batch_pro_h.Xch1_restart = (open.X_ch[1]*batch_pro_h.V_inoculum+0*batch_pro_h.V_add)/batch_pro_h.V_liq;</v>
      </c>
    </row>
    <row r="12" spans="1:21" ht="18" customHeight="1" x14ac:dyDescent="0.3">
      <c r="A12" s="8" t="s">
        <v>62</v>
      </c>
      <c r="B12" s="17">
        <v>102</v>
      </c>
      <c r="C12" s="7" t="s">
        <v>49</v>
      </c>
      <c r="G12" s="8" t="s">
        <v>63</v>
      </c>
      <c r="H12" s="19">
        <f t="shared" si="0"/>
        <v>1.3803842646028827E-5</v>
      </c>
      <c r="I12" s="7" t="s">
        <v>51</v>
      </c>
      <c r="K12" s="8" t="s">
        <v>64</v>
      </c>
      <c r="L12" s="15">
        <v>0</v>
      </c>
      <c r="M12" s="7" t="s">
        <v>65</v>
      </c>
      <c r="N12" s="7"/>
      <c r="O12" s="8" t="s">
        <v>64</v>
      </c>
      <c r="P12" s="15">
        <v>0</v>
      </c>
      <c r="Q12" s="7" t="s">
        <v>65</v>
      </c>
      <c r="S12" s="8" t="s">
        <v>66</v>
      </c>
      <c r="T12" s="25">
        <f t="shared" ref="T12:T15" si="1">(L30*$H$4/1000+P30*($H$2+$H$3)/1000)/($H$2+$H$3+$H$4)*1000</f>
        <v>0</v>
      </c>
      <c r="U12" s="18" t="str">
        <f>CONCATENATE("batch_pro_h.Xch2_restart = (open.X_ch[2]*batch_pro_h.V_inoculum+",T12,"*batch_pro_h.V_add)/batch_pro_h.V_liq;")</f>
        <v>batch_pro_h.Xch2_restart = (open.X_ch[2]*batch_pro_h.V_inoculum+0*batch_pro_h.V_add)/batch_pro_h.V_liq;</v>
      </c>
    </row>
    <row r="13" spans="1:21" ht="18" customHeight="1" x14ac:dyDescent="0.3">
      <c r="A13" s="8" t="s">
        <v>67</v>
      </c>
      <c r="B13" s="17">
        <v>100</v>
      </c>
      <c r="C13" s="7" t="s">
        <v>49</v>
      </c>
      <c r="G13" s="8" t="s">
        <v>68</v>
      </c>
      <c r="H13" s="19">
        <f t="shared" si="0"/>
        <v>4.4668359215096327E-7</v>
      </c>
      <c r="I13" s="7" t="s">
        <v>51</v>
      </c>
      <c r="K13" s="8" t="s">
        <v>69</v>
      </c>
      <c r="L13" s="15">
        <v>0</v>
      </c>
      <c r="M13" s="7" t="s">
        <v>70</v>
      </c>
      <c r="N13" s="7"/>
      <c r="O13" s="8" t="s">
        <v>69</v>
      </c>
      <c r="P13" s="15">
        <v>0</v>
      </c>
      <c r="Q13" s="7" t="s">
        <v>70</v>
      </c>
      <c r="S13" s="8" t="s">
        <v>71</v>
      </c>
      <c r="T13" s="25">
        <f t="shared" si="1"/>
        <v>0</v>
      </c>
      <c r="U13" s="18" t="str">
        <f>CONCATENATE("batch_pro_h.Xpr1_restart = (open.X_pr[1]*batch_pro_h.V_inoculum+",T13,"*batch_pro_h.V_add)/batch_pro_h.V_liq;")</f>
        <v>batch_pro_h.Xpr1_restart = (open.X_pr[1]*batch_pro_h.V_inoculum+0*batch_pro_h.V_add)/batch_pro_h.V_liq;</v>
      </c>
    </row>
    <row r="14" spans="1:21" ht="18" customHeight="1" x14ac:dyDescent="0.3">
      <c r="A14" s="8" t="s">
        <v>72</v>
      </c>
      <c r="B14" s="17">
        <v>60</v>
      </c>
      <c r="C14" s="7" t="s">
        <v>49</v>
      </c>
      <c r="G14" s="8" t="s">
        <v>73</v>
      </c>
      <c r="H14" s="19">
        <f t="shared" si="0"/>
        <v>5.6234132519034889E-10</v>
      </c>
      <c r="I14" s="7" t="s">
        <v>51</v>
      </c>
      <c r="K14" s="8" t="s">
        <v>74</v>
      </c>
      <c r="L14" s="15">
        <v>7</v>
      </c>
      <c r="M14" s="7" t="s">
        <v>43</v>
      </c>
      <c r="N14" s="7"/>
      <c r="O14" s="8" t="s">
        <v>74</v>
      </c>
      <c r="P14" s="15">
        <v>7.6</v>
      </c>
      <c r="Q14" s="7" t="s">
        <v>43</v>
      </c>
      <c r="S14" s="8" t="s">
        <v>75</v>
      </c>
      <c r="T14" s="25">
        <f t="shared" si="1"/>
        <v>0</v>
      </c>
      <c r="U14" s="18" t="str">
        <f>CONCATENATE("batch_pro_h.Xpr2_restart = (open.X_pr[2]*batch_pro_h.V_inoculum+",T14,"*batch_pro_h.V_add)/batch_pro_h.V_liq;")</f>
        <v>batch_pro_h.Xpr2_restart = (open.X_pr[2]*batch_pro_h.V_inoculum+0*batch_pro_h.V_add)/batch_pro_h.V_liq;</v>
      </c>
    </row>
    <row r="15" spans="1:21" ht="18" customHeight="1" x14ac:dyDescent="0.3">
      <c r="A15" s="8" t="s">
        <v>76</v>
      </c>
      <c r="B15" s="17">
        <v>14</v>
      </c>
      <c r="C15" s="7" t="s">
        <v>49</v>
      </c>
      <c r="G15" s="8" t="s">
        <v>77</v>
      </c>
      <c r="H15" s="19">
        <f t="shared" si="0"/>
        <v>2.1379620895022253E-13</v>
      </c>
      <c r="I15" s="7" t="s">
        <v>51</v>
      </c>
      <c r="K15" s="8" t="s">
        <v>78</v>
      </c>
      <c r="L15" s="15">
        <v>0</v>
      </c>
      <c r="M15" s="7" t="s">
        <v>79</v>
      </c>
      <c r="N15" s="7"/>
      <c r="O15" s="8" t="s">
        <v>78</v>
      </c>
      <c r="P15" s="15">
        <v>404.4</v>
      </c>
      <c r="Q15" s="7" t="s">
        <v>79</v>
      </c>
      <c r="S15" s="8" t="s">
        <v>80</v>
      </c>
      <c r="T15" s="25">
        <f t="shared" si="1"/>
        <v>0</v>
      </c>
      <c r="U15" s="18" t="str">
        <f>CONCATENATE("batch_pro_h.Xli_restart = (open.X_li*batch_pro_h.V_inoculum+",T15,"*batch_pro_h.V_add)/batch_pro_h.V_liq;")</f>
        <v>batch_pro_h.Xli_restart = (open.X_li*batch_pro_h.V_inoculum+0*batch_pro_h.V_add)/batch_pro_h.V_liq;</v>
      </c>
    </row>
    <row r="16" spans="1:21" ht="18" customHeight="1" x14ac:dyDescent="0.3">
      <c r="A16" s="8" t="s">
        <v>81</v>
      </c>
      <c r="B16" s="17">
        <v>31</v>
      </c>
      <c r="C16" s="7" t="s">
        <v>49</v>
      </c>
      <c r="G16" s="8" t="s">
        <v>82</v>
      </c>
      <c r="H16" s="19">
        <f t="shared" si="0"/>
        <v>6.1659500186148087E-8</v>
      </c>
      <c r="I16" s="7" t="s">
        <v>51</v>
      </c>
      <c r="K16" s="8" t="s">
        <v>83</v>
      </c>
      <c r="L16" s="15">
        <v>0</v>
      </c>
      <c r="M16" s="7" t="s">
        <v>43</v>
      </c>
      <c r="N16" s="7"/>
      <c r="O16" s="8" t="s">
        <v>83</v>
      </c>
      <c r="P16" s="15">
        <v>0</v>
      </c>
      <c r="Q16" s="7" t="s">
        <v>43</v>
      </c>
      <c r="S16" s="8" t="s">
        <v>84</v>
      </c>
      <c r="T16" s="7">
        <v>0</v>
      </c>
      <c r="U16" s="18" t="str">
        <f>CONCATENATE("batch_pro_h.Xp_restart = (open.X_p*batch_pro_h.V_inoculum+",T16,"*batch_pro_h.V_add)/batch_pro_h.V_liq;")</f>
        <v>batch_pro_h.Xp_restart = (open.X_p*batch_pro_h.V_inoculum+0*batch_pro_h.V_add)/batch_pro_h.V_liq;</v>
      </c>
    </row>
    <row r="17" spans="1:21" ht="18" customHeight="1" x14ac:dyDescent="0.3">
      <c r="A17" s="8" t="s">
        <v>85</v>
      </c>
      <c r="B17" s="17">
        <v>4.76</v>
      </c>
      <c r="C17" s="7" t="s">
        <v>43</v>
      </c>
      <c r="G17" s="8" t="s">
        <v>86</v>
      </c>
      <c r="H17" s="19">
        <f t="shared" si="0"/>
        <v>7.5857757502918299E-3</v>
      </c>
      <c r="I17" s="7" t="s">
        <v>51</v>
      </c>
      <c r="K17" s="8" t="s">
        <v>87</v>
      </c>
      <c r="L17" s="15">
        <v>0</v>
      </c>
      <c r="M17" s="7" t="s">
        <v>43</v>
      </c>
      <c r="N17" s="7"/>
      <c r="O17" s="8" t="s">
        <v>87</v>
      </c>
      <c r="P17" s="15">
        <v>0</v>
      </c>
      <c r="Q17" s="7" t="s">
        <v>43</v>
      </c>
      <c r="S17" s="8" t="s">
        <v>88</v>
      </c>
      <c r="T17" s="7">
        <v>0</v>
      </c>
      <c r="U17" s="18" t="str">
        <f>CONCATENATE("batch_pro_h.Si_restart = (open.S_i*batch_pro_h.V_inoculum+",T17,"*batch_pro_h.V_add)/batch_pro_h.V_liq;")</f>
        <v>batch_pro_h.Si_restart = (open.S_i*batch_pro_h.V_inoculum+0*batch_pro_h.V_add)/batch_pro_h.V_liq;</v>
      </c>
    </row>
    <row r="18" spans="1:21" ht="18" customHeight="1" x14ac:dyDescent="0.3">
      <c r="A18" s="8" t="s">
        <v>89</v>
      </c>
      <c r="B18" s="17">
        <v>4.88</v>
      </c>
      <c r="C18" s="7" t="s">
        <v>43</v>
      </c>
      <c r="G18" s="8" t="s">
        <v>90</v>
      </c>
      <c r="H18" s="19">
        <f t="shared" si="0"/>
        <v>1E-14</v>
      </c>
      <c r="I18" s="7" t="s">
        <v>91</v>
      </c>
      <c r="K18" s="8" t="s">
        <v>92</v>
      </c>
      <c r="L18" s="15">
        <v>0</v>
      </c>
      <c r="M18" s="7" t="s">
        <v>43</v>
      </c>
      <c r="N18" s="7"/>
      <c r="O18" s="8" t="s">
        <v>92</v>
      </c>
      <c r="P18" s="15">
        <v>0</v>
      </c>
      <c r="Q18" s="7" t="s">
        <v>43</v>
      </c>
      <c r="S18" s="8" t="s">
        <v>93</v>
      </c>
      <c r="T18" s="7">
        <v>0</v>
      </c>
      <c r="U18" s="18" t="str">
        <f>CONCATENATE("batch_pro_h.Ssu_restart = (open.S_su*batch_pro_h.V_inoculum+",T18,"*batch_pro_h.V_add)/batch_pro_h.V_liq;")</f>
        <v>batch_pro_h.Ssu_restart = (open.S_su*batch_pro_h.V_inoculum+0*batch_pro_h.V_add)/batch_pro_h.V_liq;</v>
      </c>
    </row>
    <row r="19" spans="1:21" ht="18" customHeight="1" x14ac:dyDescent="0.3">
      <c r="A19" s="8" t="s">
        <v>94</v>
      </c>
      <c r="B19" s="17">
        <v>4.82</v>
      </c>
      <c r="C19" s="7" t="s">
        <v>43</v>
      </c>
      <c r="K19" s="8" t="s">
        <v>95</v>
      </c>
      <c r="L19" s="15">
        <v>0</v>
      </c>
      <c r="M19" s="7" t="s">
        <v>43</v>
      </c>
      <c r="N19" s="7"/>
      <c r="O19" s="8" t="s">
        <v>95</v>
      </c>
      <c r="P19" s="15">
        <v>0</v>
      </c>
      <c r="Q19" s="7" t="s">
        <v>43</v>
      </c>
      <c r="S19" s="8" t="s">
        <v>152</v>
      </c>
      <c r="T19" s="7">
        <v>0</v>
      </c>
      <c r="U19" s="18" t="str">
        <f>CONCATENATE("batch_pro_h.Saa_restart = (open.S_aa*batch_pro_h.V_inoculum+",T19,"*batch_pro_h.V_add)/batch_pro_h.V_liq;")</f>
        <v>batch_pro_h.Saa_restart = (open.S_aa*batch_pro_h.V_inoculum+0*batch_pro_h.V_add)/batch_pro_h.V_liq;</v>
      </c>
    </row>
    <row r="20" spans="1:21" ht="18" customHeight="1" x14ac:dyDescent="0.3">
      <c r="A20" s="8" t="s">
        <v>96</v>
      </c>
      <c r="B20" s="17">
        <v>4.8600000000000003</v>
      </c>
      <c r="C20" s="7" t="s">
        <v>43</v>
      </c>
      <c r="K20" s="8" t="s">
        <v>97</v>
      </c>
      <c r="L20" s="15">
        <v>0</v>
      </c>
      <c r="M20" s="7" t="s">
        <v>43</v>
      </c>
      <c r="N20" s="7"/>
      <c r="O20" s="8" t="s">
        <v>97</v>
      </c>
      <c r="P20" s="15">
        <v>0</v>
      </c>
      <c r="Q20" s="7" t="s">
        <v>43</v>
      </c>
      <c r="S20" s="8" t="s">
        <v>98</v>
      </c>
      <c r="T20" s="7">
        <v>0</v>
      </c>
      <c r="U20" s="18" t="str">
        <f>CONCATENATE("batch_pro_h.Sfa_restart = (open.S_fa*batch_pro_h.V_inoculum+",T20,"*batch_pro_h.V_add)/batch_pro_h.V_liq;")</f>
        <v>batch_pro_h.Sfa_restart = (open.S_fa*batch_pro_h.V_inoculum+0*batch_pro_h.V_add)/batch_pro_h.V_liq;</v>
      </c>
    </row>
    <row r="21" spans="1:21" ht="18" customHeight="1" x14ac:dyDescent="0.3">
      <c r="A21" s="8" t="s">
        <v>99</v>
      </c>
      <c r="B21" s="17">
        <v>6.35</v>
      </c>
      <c r="C21" s="7" t="s">
        <v>43</v>
      </c>
      <c r="K21" s="7"/>
      <c r="L21" s="7"/>
      <c r="M21" s="7"/>
      <c r="N21" s="7"/>
      <c r="O21" s="7"/>
      <c r="P21" s="7"/>
      <c r="S21" s="8" t="s">
        <v>100</v>
      </c>
      <c r="T21" s="25">
        <f>(L11*$H$4/1000+P11*($H$2+$H$3)/1000)/($H$2+$H$3+$H$4)*1000</f>
        <v>0</v>
      </c>
      <c r="U21" s="18" t="str">
        <f>CONCATENATE("batch_pro_h.Sva_restart = (open.S_va*batch_pro_h.V_inoculum+",T21,"*batch_pro_h.V_add)/batch_pro_h.V_liq;")</f>
        <v>batch_pro_h.Sva_restart = (open.S_va*batch_pro_h.V_inoculum+0*batch_pro_h.V_add)/batch_pro_h.V_liq;</v>
      </c>
    </row>
    <row r="22" spans="1:21" ht="18" customHeight="1" x14ac:dyDescent="0.3">
      <c r="A22" s="8" t="s">
        <v>101</v>
      </c>
      <c r="B22" s="17">
        <v>9.25</v>
      </c>
      <c r="C22" s="7" t="s">
        <v>43</v>
      </c>
      <c r="K22" s="36" t="s">
        <v>102</v>
      </c>
      <c r="L22" s="36"/>
      <c r="M22" s="36"/>
      <c r="N22" s="7"/>
      <c r="O22" s="36" t="s">
        <v>103</v>
      </c>
      <c r="P22" s="36"/>
      <c r="Q22" s="36"/>
      <c r="S22" s="8" t="s">
        <v>104</v>
      </c>
      <c r="T22" s="25">
        <f>(L10*$H$4/1000+P10*($H$2+$H$3)/1000)/($H$2+$H$3+$H$4)*1000</f>
        <v>0</v>
      </c>
      <c r="U22" s="18" t="str">
        <f>CONCATENATE("batch_pro_h.Sbu_restart = (open.S_bu*batch_pro_h.V_inoculum+",T22,"*batch_pro_h.V_add)/batch_pro_h.V_liq;")</f>
        <v>batch_pro_h.Sbu_restart = (open.S_bu*batch_pro_h.V_inoculum+0*batch_pro_h.V_add)/batch_pro_h.V_liq;</v>
      </c>
    </row>
    <row r="23" spans="1:21" ht="18" customHeight="1" x14ac:dyDescent="0.3">
      <c r="A23" s="8" t="s">
        <v>105</v>
      </c>
      <c r="B23" s="17">
        <v>12.67</v>
      </c>
      <c r="C23" s="7" t="s">
        <v>43</v>
      </c>
      <c r="E23" s="7"/>
      <c r="F23" s="7"/>
      <c r="G23" s="7"/>
      <c r="H23" s="7"/>
      <c r="I23" s="7"/>
      <c r="K23" s="8" t="s">
        <v>106</v>
      </c>
      <c r="L23" s="13">
        <f>$L$5*$L$3*$L$4/1000/1000*$B$2</f>
        <v>0</v>
      </c>
      <c r="M23" s="7" t="s">
        <v>107</v>
      </c>
      <c r="N23" s="7"/>
      <c r="O23" s="8" t="s">
        <v>106</v>
      </c>
      <c r="P23" s="13">
        <f>$P$5*$P$3*$P$4/1000/1000*$B$2</f>
        <v>0</v>
      </c>
      <c r="Q23" s="7" t="s">
        <v>107</v>
      </c>
      <c r="S23" s="8" t="s">
        <v>108</v>
      </c>
      <c r="T23" s="25">
        <f>(L9*$H$4/1000+P9*($H$2+$H$3)/1000)/($H$2+$H$3+$H$4)*1000</f>
        <v>1.7087378640776698</v>
      </c>
      <c r="U23" s="18" t="str">
        <f>CONCATENATE("batch_pro_h.Spro_restart = (open.S_pro*batch_pro_h.V_inoculum+",T23,"*batch_pro_h.V_add)/batch_pro_h.V_liq;")</f>
        <v>batch_pro_h.Spro_restart = (open.S_pro*batch_pro_h.V_inoculum+1.70873786407767*batch_pro_h.V_add)/batch_pro_h.V_liq;</v>
      </c>
    </row>
    <row r="24" spans="1:21" ht="18" customHeight="1" x14ac:dyDescent="0.3">
      <c r="A24" s="8" t="s">
        <v>109</v>
      </c>
      <c r="B24" s="17">
        <v>7.21</v>
      </c>
      <c r="C24" s="7" t="s">
        <v>43</v>
      </c>
      <c r="E24" s="7"/>
      <c r="F24" s="7"/>
      <c r="G24" s="7"/>
      <c r="H24" s="7"/>
      <c r="I24" s="7"/>
      <c r="K24" s="8" t="s">
        <v>110</v>
      </c>
      <c r="L24" s="13">
        <f>$L$6*L3*$L$4/1000/1000*B4*B5</f>
        <v>0</v>
      </c>
      <c r="M24" s="7" t="s">
        <v>107</v>
      </c>
      <c r="N24" s="7"/>
      <c r="O24" s="8" t="s">
        <v>110</v>
      </c>
      <c r="P24" s="13">
        <f>$P$6*P3*$P$4/1000/1000*B4*B5</f>
        <v>0</v>
      </c>
      <c r="Q24" s="7" t="s">
        <v>107</v>
      </c>
      <c r="S24" s="8" t="s">
        <v>111</v>
      </c>
      <c r="T24" s="25">
        <f>(L8*$H$4/1000+P8*($H$2+$H$3)/1000)/($H$2+$H$3+$H$4)*1000</f>
        <v>0</v>
      </c>
      <c r="U24" s="18" t="str">
        <f>CONCATENATE("batch_pro_h.Sac_restart = (open.S_ac*batch_pro_h.V_inoculum+",T24,"*batch_pro_h.V_add)/batch_pro_h.V_liq;")</f>
        <v>batch_pro_h.Sac_restart = (open.S_ac*batch_pro_h.V_inoculum+0*batch_pro_h.V_add)/batch_pro_h.V_liq;</v>
      </c>
    </row>
    <row r="25" spans="1:21" ht="18" customHeight="1" x14ac:dyDescent="0.3">
      <c r="A25" s="8" t="s">
        <v>112</v>
      </c>
      <c r="B25" s="17">
        <v>2.12</v>
      </c>
      <c r="C25" s="7" t="s">
        <v>43</v>
      </c>
      <c r="E25" s="7"/>
      <c r="F25" s="7"/>
      <c r="G25" s="7"/>
      <c r="H25" s="7"/>
      <c r="I25" s="7"/>
      <c r="K25" s="8" t="s">
        <v>113</v>
      </c>
      <c r="L25" s="13">
        <f>$L$7*L3*$L$4/1000/1000*B6</f>
        <v>0</v>
      </c>
      <c r="M25" s="7" t="s">
        <v>107</v>
      </c>
      <c r="N25" s="7"/>
      <c r="O25" s="8" t="s">
        <v>113</v>
      </c>
      <c r="P25" s="13">
        <f>$P$7*P3*$P$4/1000/1000*B6</f>
        <v>0</v>
      </c>
      <c r="Q25" s="7" t="s">
        <v>107</v>
      </c>
      <c r="S25" s="8" t="s">
        <v>114</v>
      </c>
      <c r="T25" s="7">
        <v>0</v>
      </c>
      <c r="U25" s="18" t="str">
        <f>CONCATENATE("batch_pro_h.Sh2_restart = (open.S_h2*batch_pro_h.V_inoculum+",T25,"*batch_pro_h.V_add)/batch_pro_h.V_liq;")</f>
        <v>batch_pro_h.Sh2_restart = (open.S_h2*batch_pro_h.V_inoculum+0*batch_pro_h.V_add)/batch_pro_h.V_liq;</v>
      </c>
    </row>
    <row r="26" spans="1:21" ht="18" customHeight="1" x14ac:dyDescent="0.3">
      <c r="A26" s="8" t="s">
        <v>115</v>
      </c>
      <c r="B26" s="17">
        <v>14</v>
      </c>
      <c r="C26" s="7" t="s">
        <v>43</v>
      </c>
      <c r="E26" s="7"/>
      <c r="F26" s="7"/>
      <c r="G26" s="7"/>
      <c r="H26" s="7"/>
      <c r="I26" s="7"/>
      <c r="K26" s="8" t="s">
        <v>116</v>
      </c>
      <c r="L26" s="13">
        <f>IF(L3=0,0,SUM(L23:L25,L8:L11))</f>
        <v>0</v>
      </c>
      <c r="M26" s="7" t="s">
        <v>107</v>
      </c>
      <c r="N26" s="7"/>
      <c r="O26" s="8" t="s">
        <v>116</v>
      </c>
      <c r="P26" s="13">
        <f>IF(P3=0,0,SUM(P23:P25,P8:P11))</f>
        <v>0</v>
      </c>
      <c r="Q26" s="7" t="s">
        <v>107</v>
      </c>
      <c r="S26" s="8" t="s">
        <v>117</v>
      </c>
      <c r="T26" s="7">
        <v>0</v>
      </c>
      <c r="U26" s="18" t="str">
        <f>CONCATENATE("batch_pro_h.Sch4_restart = (open.S_ch4*batch_pro_h.V_inoculum+",T26,"*batch_pro_h.V_add)/batch_pro_h.V_liq;")</f>
        <v>batch_pro_h.Sch4_restart = (open.S_ch4*batch_pro_h.V_inoculum+0*batch_pro_h.V_add)/batch_pro_h.V_liq;</v>
      </c>
    </row>
    <row r="27" spans="1:21" ht="18" customHeight="1" x14ac:dyDescent="0.3">
      <c r="A27" s="8" t="s">
        <v>118</v>
      </c>
      <c r="B27" s="17">
        <v>64</v>
      </c>
      <c r="C27" s="7" t="s">
        <v>119</v>
      </c>
      <c r="E27" s="7"/>
      <c r="F27" s="7"/>
      <c r="G27" s="7"/>
      <c r="H27" s="7"/>
      <c r="I27" s="7"/>
      <c r="K27" s="8" t="s">
        <v>120</v>
      </c>
      <c r="L27" s="13">
        <f>IF(L3=0,0,$L$2*$L$3*$L$4/1000/$L$26/(350*(1-$B$8)))</f>
        <v>0</v>
      </c>
      <c r="M27" s="7" t="s">
        <v>43</v>
      </c>
      <c r="N27" s="7"/>
      <c r="O27" s="8" t="s">
        <v>120</v>
      </c>
      <c r="P27" s="13">
        <f>IF(P3=0,0,$P$2*$P$3*$P$4/1000/$P$26/(350*(1-$B$8)))</f>
        <v>0</v>
      </c>
      <c r="Q27" s="7" t="s">
        <v>43</v>
      </c>
      <c r="S27" s="8" t="s">
        <v>121</v>
      </c>
      <c r="T27" s="25">
        <f>IF(L15=0,(P54*($H$2+$H$3)/1000)/($H$2+$H$3+$H$4)*1000,(L54*$H$4/1000+P54*($H$2+$H$3)/1000)/($H$2+$H$3+$H$4)*1000)</f>
        <v>8.3765553182934081E-3</v>
      </c>
      <c r="U27" s="18" t="str">
        <f>CONCATENATE("batch_pro_h.Sic_restart = (open.S_ic*batch_pro_h.V_inoculum+",T27,"*batch_pro_h.V_add)/batch_pro_h.V_liq;")</f>
        <v>batch_pro_h.Sic_restart = (open.S_ic*batch_pro_h.V_inoculum+0.00837655531829341*batch_pro_h.V_add)/batch_pro_h.V_liq;</v>
      </c>
    </row>
    <row r="28" spans="1:21" ht="18" customHeight="1" x14ac:dyDescent="0.3">
      <c r="A28" s="8" t="s">
        <v>122</v>
      </c>
      <c r="B28" s="17">
        <v>112</v>
      </c>
      <c r="C28" s="7" t="s">
        <v>119</v>
      </c>
      <c r="E28" s="7"/>
      <c r="F28" s="7"/>
      <c r="G28" s="7"/>
      <c r="H28" s="7"/>
      <c r="I28" s="7"/>
      <c r="K28" s="8" t="s">
        <v>57</v>
      </c>
      <c r="L28" s="26">
        <f>(1-$L$27)*$L$26</f>
        <v>0</v>
      </c>
      <c r="M28" s="7" t="s">
        <v>107</v>
      </c>
      <c r="O28" s="8" t="s">
        <v>57</v>
      </c>
      <c r="P28" s="26">
        <f>(1-$P$27)*$P$26</f>
        <v>0</v>
      </c>
      <c r="Q28" s="7" t="s">
        <v>107</v>
      </c>
      <c r="S28" s="22" t="s">
        <v>123</v>
      </c>
      <c r="T28" s="25">
        <f>(L44*$H$4/1000+P44*($H$2+$H$3)/1000)/($H$2+$H$3+$H$4)*1000</f>
        <v>0</v>
      </c>
      <c r="U28" s="18" t="str">
        <f>CONCATENATE("batch_pro_h.Sin_restart = (open.S_in*batch_pro_h.V_inoculum+",T28,"*batch_pro_h.V_add)/batch_pro_h.V_liq;")</f>
        <v>batch_pro_h.Sin_restart = (open.S_in*batch_pro_h.V_inoculum+0*batch_pro_h.V_add)/batch_pro_h.V_liq;</v>
      </c>
    </row>
    <row r="29" spans="1:21" ht="18" customHeight="1" x14ac:dyDescent="0.3">
      <c r="A29" s="8" t="s">
        <v>124</v>
      </c>
      <c r="B29" s="17">
        <v>160</v>
      </c>
      <c r="C29" s="7" t="s">
        <v>119</v>
      </c>
      <c r="E29" s="7"/>
      <c r="F29" s="7"/>
      <c r="G29" s="7"/>
      <c r="H29" s="7"/>
      <c r="I29" s="7"/>
      <c r="K29" s="8" t="s">
        <v>61</v>
      </c>
      <c r="L29" s="26">
        <f>(1-$L$19)*($L$23-$L$28*$L$16)</f>
        <v>0</v>
      </c>
      <c r="M29" s="7" t="s">
        <v>107</v>
      </c>
      <c r="O29" s="8" t="s">
        <v>61</v>
      </c>
      <c r="P29" s="26">
        <f>(1-$P$19)*($P$23-$P$28*$P$16)</f>
        <v>0</v>
      </c>
      <c r="Q29" s="7" t="s">
        <v>107</v>
      </c>
      <c r="S29" s="8" t="s">
        <v>125</v>
      </c>
      <c r="T29" s="25">
        <f>(L47*$H$4/1000+P47*($H$2+$H$3)/1000)/($H$2+$H$3+$H$4)*1000</f>
        <v>0</v>
      </c>
      <c r="U29" s="18" t="str">
        <f>CONCATENATE("batch_pro_h.Sip_restart = (open.S_ip*batch_pro_h.V_inoculum+",T29,"*batch_pro_h.V_add)/batch_pro_h.V_liq;")</f>
        <v>batch_pro_h.Sip_restart = (open.S_ip*batch_pro_h.V_inoculum+0*batch_pro_h.V_add)/batch_pro_h.V_liq;</v>
      </c>
    </row>
    <row r="30" spans="1:21" ht="18" customHeight="1" x14ac:dyDescent="0.3">
      <c r="A30" s="8" t="s">
        <v>126</v>
      </c>
      <c r="B30" s="17">
        <v>208</v>
      </c>
      <c r="C30" s="7" t="s">
        <v>119</v>
      </c>
      <c r="K30" s="8" t="s">
        <v>66</v>
      </c>
      <c r="L30" s="26">
        <f>($L$19)*($L$23-$L$28*$L$16)</f>
        <v>0</v>
      </c>
      <c r="M30" s="7" t="s">
        <v>107</v>
      </c>
      <c r="O30" s="8" t="s">
        <v>66</v>
      </c>
      <c r="P30" s="26">
        <f>($P$19)*($P$23-$P$28*$P$16)</f>
        <v>0</v>
      </c>
      <c r="Q30" s="7" t="s">
        <v>107</v>
      </c>
      <c r="S30" s="8" t="s">
        <v>127</v>
      </c>
      <c r="T30" s="25">
        <f>N80</f>
        <v>6.3048296372779575E-2</v>
      </c>
      <c r="U30" s="18" t="str">
        <f>CONCATENATE("batch_pro_h.Scat_restart = (open.S_cat*batch_pro_h.V_inoculum+",T30,"*batch_pro_h.V_add)/batch_pro_h.V_liq;")</f>
        <v>batch_pro_h.Scat_restart = (open.S_cat*batch_pro_h.V_inoculum+0.0630482963727796*batch_pro_h.V_add)/batch_pro_h.V_liq;</v>
      </c>
    </row>
    <row r="31" spans="1:21" ht="18" customHeight="1" x14ac:dyDescent="0.3">
      <c r="K31" s="8" t="s">
        <v>71</v>
      </c>
      <c r="L31" s="26">
        <f>(1-$L$20)*($L$24-$L$28*$L$17)</f>
        <v>0</v>
      </c>
      <c r="M31" s="7" t="s">
        <v>107</v>
      </c>
      <c r="O31" s="8" t="s">
        <v>71</v>
      </c>
      <c r="P31" s="26">
        <f>(1-$P$20)*($P$24-$P$28*$P$17)</f>
        <v>0</v>
      </c>
      <c r="Q31" s="7" t="s">
        <v>107</v>
      </c>
      <c r="S31" s="8" t="s">
        <v>128</v>
      </c>
      <c r="T31" s="30">
        <v>0</v>
      </c>
      <c r="U31" s="18" t="str">
        <f>CONCATENATE("batch_pro_h.Sca_restart = (open.S_ca*batch_pro_h.V_inoculum+",T31,"*batch_pro_h.V_add)/batch_pro_h.V_liq;")</f>
        <v>batch_pro_h.Sca_restart = (open.S_ca*batch_pro_h.V_inoculum+0*batch_pro_h.V_add)/batch_pro_h.V_liq;</v>
      </c>
    </row>
    <row r="32" spans="1:21" ht="18" customHeight="1" x14ac:dyDescent="0.3">
      <c r="K32" s="8" t="s">
        <v>75</v>
      </c>
      <c r="L32" s="26">
        <f>($L$20)*($L$24-$L$28*$L$17)</f>
        <v>0</v>
      </c>
      <c r="M32" s="7" t="s">
        <v>107</v>
      </c>
      <c r="O32" s="8" t="s">
        <v>75</v>
      </c>
      <c r="P32" s="26">
        <f>($P$20)*($P$24-$P$28*$P$17)</f>
        <v>0</v>
      </c>
      <c r="Q32" s="7" t="s">
        <v>107</v>
      </c>
      <c r="S32" s="8" t="s">
        <v>129</v>
      </c>
      <c r="T32" s="30">
        <v>0</v>
      </c>
      <c r="U32" s="18" t="str">
        <f>CONCATENATE("batch_pro_h.Smg_restart = (open.S_mg*batch_pro_h.V_inoculum+",T32,"*batch_pro_h.V_add)/batch_pro_h.V_liq;")</f>
        <v>batch_pro_h.Smg_restart = (open.S_mg*batch_pro_h.V_inoculum+0*batch_pro_h.V_add)/batch_pro_h.V_liq;</v>
      </c>
    </row>
    <row r="33" spans="1:21" ht="18" customHeight="1" x14ac:dyDescent="0.3">
      <c r="K33" s="8" t="s">
        <v>80</v>
      </c>
      <c r="L33" s="26">
        <f>($L$25-$L$28*$L$18)</f>
        <v>0</v>
      </c>
      <c r="M33" s="7" t="s">
        <v>107</v>
      </c>
      <c r="O33" s="8" t="s">
        <v>80</v>
      </c>
      <c r="P33" s="26">
        <f>($P$25-$P$28*$P$18)</f>
        <v>0</v>
      </c>
      <c r="Q33" s="7" t="s">
        <v>107</v>
      </c>
      <c r="S33" s="8" t="s">
        <v>130</v>
      </c>
      <c r="T33" s="25">
        <f>N79</f>
        <v>0.04</v>
      </c>
      <c r="U33" s="18" t="str">
        <f>CONCATENATE("batch_pro_h.San_restart = (open.S_an*batch_pro_h.V_inoculum+",T33,"*batch_pro_h.V_add)/batch_pro_h.V_liq;")</f>
        <v>batch_pro_h.San_restart = (open.S_an*batch_pro_h.V_inoculum+0.04*batch_pro_h.V_add)/batch_pro_h.V_liq;</v>
      </c>
    </row>
    <row r="34" spans="1:21" ht="18" customHeight="1" x14ac:dyDescent="0.3">
      <c r="K34" s="8" t="s">
        <v>100</v>
      </c>
      <c r="L34" s="13">
        <f>L11</f>
        <v>0</v>
      </c>
      <c r="M34" s="7" t="s">
        <v>107</v>
      </c>
      <c r="O34" s="8" t="s">
        <v>100</v>
      </c>
      <c r="P34" s="13">
        <f>P11</f>
        <v>0</v>
      </c>
      <c r="Q34" s="7" t="s">
        <v>107</v>
      </c>
      <c r="S34" s="8" t="s">
        <v>131</v>
      </c>
      <c r="T34" s="7">
        <v>0</v>
      </c>
      <c r="U34" s="18" t="str">
        <f>CONCATENATE("batch_pro_h.ash_restart = (open.ash*batch_pro_h.V_inoculum+",T34,"*batch_pro_h.V_add)/batch_pro_h.V_liq;")</f>
        <v>batch_pro_h.ash_restart = (open.ash*batch_pro_h.V_inoculum+0*batch_pro_h.V_add)/batch_pro_h.V_liq;</v>
      </c>
    </row>
    <row r="35" spans="1:21" ht="18" customHeight="1" x14ac:dyDescent="0.3">
      <c r="A35" s="2"/>
      <c r="K35" s="8" t="s">
        <v>104</v>
      </c>
      <c r="L35" s="13">
        <f>L10</f>
        <v>0</v>
      </c>
      <c r="M35" s="7" t="s">
        <v>107</v>
      </c>
      <c r="O35" s="8" t="s">
        <v>104</v>
      </c>
      <c r="P35" s="13">
        <f>P10</f>
        <v>0</v>
      </c>
      <c r="Q35" s="7" t="s">
        <v>107</v>
      </c>
      <c r="S35" s="8" t="s">
        <v>132</v>
      </c>
      <c r="T35" s="7">
        <v>0</v>
      </c>
      <c r="U35" s="18" t="str">
        <f>CONCATENATE("batch_pro_h.Xlig_restart = (open.X_lig*batch_pro_h.V_inoculum+",T35,"*batch_pro_h.V_add)/batch_pro_h.V_liq;")</f>
        <v>batch_pro_h.Xlig_restart = (open.X_lig*batch_pro_h.V_inoculum+0*batch_pro_h.V_add)/batch_pro_h.V_liq;</v>
      </c>
    </row>
    <row r="36" spans="1:21" ht="18" customHeight="1" x14ac:dyDescent="0.3">
      <c r="K36" s="8" t="s">
        <v>108</v>
      </c>
      <c r="L36" s="13">
        <f>L9</f>
        <v>88</v>
      </c>
      <c r="M36" s="7" t="s">
        <v>107</v>
      </c>
      <c r="O36" s="8" t="s">
        <v>108</v>
      </c>
      <c r="P36" s="13">
        <f>P9</f>
        <v>0</v>
      </c>
      <c r="Q36" s="7" t="s">
        <v>107</v>
      </c>
    </row>
    <row r="37" spans="1:21" ht="18" customHeight="1" x14ac:dyDescent="0.3">
      <c r="K37" s="8" t="s">
        <v>111</v>
      </c>
      <c r="L37" s="13">
        <f>L8</f>
        <v>0</v>
      </c>
      <c r="M37" s="7" t="s">
        <v>107</v>
      </c>
      <c r="O37" s="8" t="s">
        <v>111</v>
      </c>
      <c r="P37" s="13">
        <f>P8</f>
        <v>0</v>
      </c>
      <c r="Q37" s="7" t="s">
        <v>107</v>
      </c>
    </row>
    <row r="38" spans="1:21" ht="18" customHeight="1" x14ac:dyDescent="0.3">
      <c r="K38" s="2" t="s">
        <v>133</v>
      </c>
      <c r="L38" s="20">
        <f>IF(L14=0,0,(10^(-L14)))</f>
        <v>9.9999999999999995E-8</v>
      </c>
      <c r="M38" s="1" t="s">
        <v>51</v>
      </c>
      <c r="O38" s="2" t="s">
        <v>133</v>
      </c>
      <c r="P38" s="20">
        <f>IF(P14=0,0,(10^(-P14)))</f>
        <v>2.5118864315095751E-8</v>
      </c>
      <c r="Q38" s="1" t="s">
        <v>51</v>
      </c>
      <c r="T38" s="6">
        <v>1.0663683880834701E-2</v>
      </c>
    </row>
    <row r="39" spans="1:21" ht="18" customHeight="1" x14ac:dyDescent="0.3">
      <c r="K39" s="2" t="s">
        <v>134</v>
      </c>
      <c r="L39" s="20">
        <f>IF(L14=0,0,$H$18/L38)</f>
        <v>1.0000000000000001E-7</v>
      </c>
      <c r="M39" s="1" t="s">
        <v>51</v>
      </c>
      <c r="O39" s="2" t="s">
        <v>134</v>
      </c>
      <c r="P39" s="20">
        <f>IF(P14=0,0,$H$18/P38)</f>
        <v>3.9810717055349803E-7</v>
      </c>
      <c r="Q39" s="1" t="s">
        <v>51</v>
      </c>
      <c r="T39" s="6">
        <v>4.5514332287286602E-2</v>
      </c>
    </row>
    <row r="40" spans="1:21" ht="18" customHeight="1" x14ac:dyDescent="0.3">
      <c r="A40" s="8"/>
      <c r="K40" s="2" t="s">
        <v>135</v>
      </c>
      <c r="L40" s="20">
        <f>L8/$B$27*$H$9/(L38+$H$9)</f>
        <v>0</v>
      </c>
      <c r="M40" s="1" t="s">
        <v>51</v>
      </c>
      <c r="O40" s="2" t="s">
        <v>135</v>
      </c>
      <c r="P40" s="20">
        <f>P8/$B$27*$H$9/(P38+$H$9)</f>
        <v>0</v>
      </c>
      <c r="Q40" s="1" t="s">
        <v>51</v>
      </c>
    </row>
    <row r="41" spans="1:21" ht="18" customHeight="1" x14ac:dyDescent="0.3">
      <c r="K41" s="2" t="s">
        <v>136</v>
      </c>
      <c r="L41" s="20">
        <f>L9/$B$28*$H$10/(L38+$H$10)</f>
        <v>0.77979890608242153</v>
      </c>
      <c r="M41" s="1" t="s">
        <v>51</v>
      </c>
      <c r="O41" s="2" t="s">
        <v>136</v>
      </c>
      <c r="P41" s="20">
        <f>P9/$B$28*$H$10/(P38+$H$10)</f>
        <v>0</v>
      </c>
      <c r="Q41" s="1" t="s">
        <v>51</v>
      </c>
    </row>
    <row r="42" spans="1:21" ht="18" customHeight="1" x14ac:dyDescent="0.3">
      <c r="K42" s="2" t="s">
        <v>137</v>
      </c>
      <c r="L42" s="20">
        <f>L10/$B$29*$H$11/(L38+$H$11)</f>
        <v>0</v>
      </c>
      <c r="M42" s="1" t="s">
        <v>51</v>
      </c>
      <c r="O42" s="2" t="s">
        <v>137</v>
      </c>
      <c r="P42" s="20">
        <f>P10/$B$29*$H$11/(P38+$H$11)</f>
        <v>0</v>
      </c>
      <c r="Q42" s="1" t="s">
        <v>51</v>
      </c>
    </row>
    <row r="43" spans="1:21" ht="18" customHeight="1" x14ac:dyDescent="0.3">
      <c r="K43" s="2" t="s">
        <v>138</v>
      </c>
      <c r="L43" s="20">
        <f>L11/$B$30*$H$12/(L38+$H$12)</f>
        <v>0</v>
      </c>
      <c r="M43" s="1" t="s">
        <v>51</v>
      </c>
      <c r="O43" s="2" t="s">
        <v>138</v>
      </c>
      <c r="P43" s="20">
        <f>P11/$B$30*$H$12/(P38+$H$12)</f>
        <v>0</v>
      </c>
      <c r="Q43" s="1" t="s">
        <v>51</v>
      </c>
    </row>
    <row r="44" spans="1:21" ht="18" customHeight="1" x14ac:dyDescent="0.3">
      <c r="K44" s="2" t="s">
        <v>123</v>
      </c>
      <c r="L44" s="20">
        <f>L12/$B$15/1000</f>
        <v>0</v>
      </c>
      <c r="M44" s="1" t="s">
        <v>51</v>
      </c>
      <c r="O44" s="2" t="s">
        <v>123</v>
      </c>
      <c r="P44" s="20">
        <f>P12/$B$15/1000</f>
        <v>0</v>
      </c>
      <c r="Q44" s="1" t="s">
        <v>51</v>
      </c>
    </row>
    <row r="45" spans="1:21" ht="18" customHeight="1" x14ac:dyDescent="0.3">
      <c r="K45" s="2" t="s">
        <v>139</v>
      </c>
      <c r="L45" s="20">
        <f>L44*L38/($H$14+L38)</f>
        <v>0</v>
      </c>
      <c r="M45" s="1" t="s">
        <v>51</v>
      </c>
      <c r="O45" s="2" t="s">
        <v>139</v>
      </c>
      <c r="P45" s="20">
        <f>P44*P38/($H$14+P38)</f>
        <v>0</v>
      </c>
      <c r="Q45" s="1" t="s">
        <v>51</v>
      </c>
    </row>
    <row r="46" spans="1:21" ht="18" customHeight="1" x14ac:dyDescent="0.3">
      <c r="K46" s="2" t="s">
        <v>140</v>
      </c>
      <c r="L46" s="20">
        <f>L44-L45</f>
        <v>0</v>
      </c>
      <c r="M46" s="1" t="s">
        <v>51</v>
      </c>
      <c r="O46" s="2" t="s">
        <v>140</v>
      </c>
      <c r="P46" s="20">
        <f>P44-P45</f>
        <v>0</v>
      </c>
      <c r="Q46" s="1" t="s">
        <v>51</v>
      </c>
    </row>
    <row r="47" spans="1:21" ht="18" customHeight="1" x14ac:dyDescent="0.3">
      <c r="K47" s="2" t="s">
        <v>125</v>
      </c>
      <c r="L47" s="20">
        <f>L13/$B$16/1000</f>
        <v>0</v>
      </c>
      <c r="M47" s="6" t="s">
        <v>51</v>
      </c>
      <c r="O47" s="2" t="s">
        <v>125</v>
      </c>
      <c r="P47" s="20">
        <f>P13/$B$16/1000</f>
        <v>0</v>
      </c>
      <c r="Q47" s="6" t="s">
        <v>51</v>
      </c>
    </row>
    <row r="48" spans="1:21" ht="18" customHeight="1" x14ac:dyDescent="0.3">
      <c r="K48" s="2" t="s">
        <v>141</v>
      </c>
      <c r="L48" s="20">
        <f>$H$15*L47/($H$15+L38+L38^2/$H$16+L38^3/($H$16*$H$17))</f>
        <v>0</v>
      </c>
      <c r="M48" s="6" t="s">
        <v>51</v>
      </c>
      <c r="O48" s="2" t="s">
        <v>141</v>
      </c>
      <c r="P48" s="20">
        <f>$H$15*P47/($H$15+P38+P38^2/$H$16+P38^3/($H$16*$H$17))</f>
        <v>0</v>
      </c>
      <c r="Q48" s="6" t="s">
        <v>51</v>
      </c>
    </row>
    <row r="49" spans="11:17" ht="18" customHeight="1" x14ac:dyDescent="0.3">
      <c r="K49" s="2" t="s">
        <v>142</v>
      </c>
      <c r="L49" s="27">
        <f>$H$16*L47/($H$15*$H$16/L38+$H$16+L38+(L38^2)/$H$17)</f>
        <v>0</v>
      </c>
      <c r="M49" s="6" t="s">
        <v>51</v>
      </c>
      <c r="O49" s="2" t="s">
        <v>142</v>
      </c>
      <c r="P49" s="20">
        <f>$H$16*P47/($H$15*$H$16/P38+$H$16+P38+(P38^2)/$H$17)</f>
        <v>0</v>
      </c>
      <c r="Q49" s="6" t="s">
        <v>51</v>
      </c>
    </row>
    <row r="50" spans="11:17" ht="18" customHeight="1" x14ac:dyDescent="0.3">
      <c r="K50" s="2" t="s">
        <v>143</v>
      </c>
      <c r="L50" s="27">
        <f>L47*$H$17/(L38+$H$17+$H$17*$H$16/L38+$H$17*$H$16*$H$15/(L38^2))</f>
        <v>0</v>
      </c>
      <c r="M50" s="6" t="s">
        <v>51</v>
      </c>
      <c r="O50" s="2" t="s">
        <v>143</v>
      </c>
      <c r="P50" s="20">
        <f>P47*$H$17/(P38+$H$17+$H$17*$H$16/P38+$H$17*$H$16*$H$15/(P38^2))</f>
        <v>0</v>
      </c>
      <c r="Q50" s="6" t="s">
        <v>51</v>
      </c>
    </row>
    <row r="51" spans="11:17" ht="18" customHeight="1" x14ac:dyDescent="0.3">
      <c r="K51" s="2" t="s">
        <v>144</v>
      </c>
      <c r="L51" s="20">
        <f>L47-L48-L49-L50</f>
        <v>0</v>
      </c>
      <c r="M51" s="6" t="s">
        <v>51</v>
      </c>
      <c r="O51" s="2" t="s">
        <v>144</v>
      </c>
      <c r="P51" s="20">
        <f>P47-P48-P49-P50</f>
        <v>0</v>
      </c>
      <c r="Q51" s="6" t="s">
        <v>51</v>
      </c>
    </row>
    <row r="52" spans="11:17" ht="18" customHeight="1" x14ac:dyDescent="0.3">
      <c r="K52" s="2" t="s">
        <v>145</v>
      </c>
      <c r="L52" s="24">
        <f>L15/$B$13*2/1000</f>
        <v>0</v>
      </c>
      <c r="M52" s="1" t="s">
        <v>51</v>
      </c>
      <c r="O52" s="2" t="s">
        <v>145</v>
      </c>
      <c r="P52" s="24">
        <f>P15/$B$13*2/1000</f>
        <v>8.0879999999999997E-3</v>
      </c>
      <c r="Q52" s="1" t="s">
        <v>51</v>
      </c>
    </row>
    <row r="53" spans="11:17" ht="18" customHeight="1" x14ac:dyDescent="0.3">
      <c r="K53" s="2" t="s">
        <v>146</v>
      </c>
      <c r="L53" s="24">
        <f>L52-SUM(L40:L43)-L39+L38-L46-L49-2*L48+L51</f>
        <v>-0.77979890608242153</v>
      </c>
      <c r="M53" s="1" t="s">
        <v>51</v>
      </c>
      <c r="O53" s="2" t="s">
        <v>146</v>
      </c>
      <c r="P53" s="24">
        <f>P52-SUM(P40:P43)-P39+P38-P46-P49-2*P48+P51</f>
        <v>8.0876270116937606E-3</v>
      </c>
      <c r="Q53" s="1" t="s">
        <v>51</v>
      </c>
    </row>
    <row r="54" spans="11:17" ht="18" customHeight="1" x14ac:dyDescent="0.3">
      <c r="K54" s="2" t="s">
        <v>121</v>
      </c>
      <c r="L54" s="24">
        <f>L53*(L38+$H$13)/$H$13</f>
        <v>-0.9543741355703399</v>
      </c>
      <c r="M54" s="1" t="s">
        <v>51</v>
      </c>
      <c r="O54" s="2" t="s">
        <v>121</v>
      </c>
      <c r="P54" s="24">
        <f>P53*(P38+$H$13)/$H$13</f>
        <v>8.5424277008338718E-3</v>
      </c>
      <c r="Q54" s="1" t="s">
        <v>51</v>
      </c>
    </row>
    <row r="55" spans="11:17" ht="18" customHeight="1" x14ac:dyDescent="0.3">
      <c r="K55" s="2" t="s">
        <v>147</v>
      </c>
      <c r="L55" s="24">
        <f>L54-L53</f>
        <v>-0.17457522948791837</v>
      </c>
      <c r="M55" s="1" t="s">
        <v>51</v>
      </c>
      <c r="O55" s="2" t="s">
        <v>147</v>
      </c>
      <c r="P55" s="24">
        <f>P54-P53</f>
        <v>4.5480068914011129E-4</v>
      </c>
      <c r="Q55" s="1" t="s">
        <v>51</v>
      </c>
    </row>
    <row r="56" spans="11:17" ht="18" customHeight="1" x14ac:dyDescent="0.3">
      <c r="K56" s="2" t="s">
        <v>148</v>
      </c>
      <c r="L56" s="23">
        <f>L38-L39-L40-L41-L42-L43+L45-3*L48-2*L49-L50+L57-L53</f>
        <v>4.0000000000000036E-2</v>
      </c>
      <c r="M56" s="1" t="s">
        <v>149</v>
      </c>
      <c r="O56" s="2" t="s">
        <v>148</v>
      </c>
      <c r="P56" s="23">
        <f>P38-P39-P40-P41-P42-P43+P45-3*P48-2*P49-P50+P57-P53</f>
        <v>-7.5879999999999993E-3</v>
      </c>
      <c r="Q56" s="1" t="s">
        <v>149</v>
      </c>
    </row>
    <row r="57" spans="11:17" ht="18" customHeight="1" x14ac:dyDescent="0.3">
      <c r="K57" s="2" t="s">
        <v>150</v>
      </c>
      <c r="L57" s="4">
        <v>0.04</v>
      </c>
      <c r="M57" s="1" t="s">
        <v>51</v>
      </c>
      <c r="O57" s="2" t="s">
        <v>150</v>
      </c>
      <c r="P57" s="4">
        <v>5.0000000000000001E-4</v>
      </c>
      <c r="Q57" s="1" t="s">
        <v>51</v>
      </c>
    </row>
    <row r="58" spans="11:17" ht="18" customHeight="1" x14ac:dyDescent="0.3">
      <c r="K58" s="2" t="s">
        <v>130</v>
      </c>
      <c r="L58" s="28">
        <v>0.02</v>
      </c>
      <c r="M58" s="1" t="s">
        <v>51</v>
      </c>
      <c r="O58" s="2" t="s">
        <v>130</v>
      </c>
      <c r="P58" s="28">
        <v>0.02</v>
      </c>
      <c r="Q58" s="1" t="s">
        <v>51</v>
      </c>
    </row>
    <row r="59" spans="11:17" ht="18" customHeight="1" x14ac:dyDescent="0.3">
      <c r="K59" s="2" t="s">
        <v>127</v>
      </c>
      <c r="L59" s="29">
        <f>L57+L58</f>
        <v>0.06</v>
      </c>
      <c r="M59" s="1" t="s">
        <v>51</v>
      </c>
      <c r="O59" s="2" t="s">
        <v>127</v>
      </c>
      <c r="P59" s="29">
        <f>P57+P58</f>
        <v>2.0500000000000001E-2</v>
      </c>
      <c r="Q59" s="1" t="s">
        <v>51</v>
      </c>
    </row>
    <row r="62" spans="11:17" ht="18" customHeight="1" x14ac:dyDescent="0.3">
      <c r="M62" s="36" t="s">
        <v>151</v>
      </c>
      <c r="N62" s="36"/>
      <c r="O62" s="36"/>
    </row>
    <row r="63" spans="11:17" ht="18" customHeight="1" x14ac:dyDescent="0.3">
      <c r="M63" s="2" t="s">
        <v>133</v>
      </c>
      <c r="N63" s="20">
        <f>(L38*$H$4/1000+P38*($H$2+$H$3)/1000)/($H$2+$H$3+$H$4)*1000</f>
        <v>2.6572866949754088E-8</v>
      </c>
      <c r="O63" s="1" t="s">
        <v>51</v>
      </c>
    </row>
    <row r="64" spans="11:17" ht="18" customHeight="1" x14ac:dyDescent="0.3">
      <c r="M64" s="2" t="s">
        <v>134</v>
      </c>
      <c r="N64" s="20">
        <f>$H$18/N63</f>
        <v>3.7632371467138748E-7</v>
      </c>
      <c r="O64" s="1" t="s">
        <v>51</v>
      </c>
    </row>
    <row r="65" spans="13:16" ht="18" customHeight="1" x14ac:dyDescent="0.3">
      <c r="M65" s="2" t="s">
        <v>135</v>
      </c>
      <c r="N65" s="20">
        <f>(L40*$H$4/1000+P40*($H$2+$H$3)/1000)/($H$2+$H$3+$H$4)*1000</f>
        <v>0</v>
      </c>
      <c r="O65" s="1" t="s">
        <v>51</v>
      </c>
    </row>
    <row r="66" spans="13:16" ht="18" customHeight="1" x14ac:dyDescent="0.3">
      <c r="M66" s="2" t="s">
        <v>136</v>
      </c>
      <c r="N66" s="20">
        <f t="shared" ref="N66:N68" si="2">(L41*$H$4/1000+P41*($H$2+$H$3)/1000)/($H$2+$H$3+$H$4)*1000</f>
        <v>1.5141726331697504E-2</v>
      </c>
      <c r="O66" s="1" t="s">
        <v>51</v>
      </c>
    </row>
    <row r="67" spans="13:16" ht="18" customHeight="1" x14ac:dyDescent="0.3">
      <c r="M67" s="2" t="s">
        <v>137</v>
      </c>
      <c r="N67" s="20">
        <f t="shared" si="2"/>
        <v>0</v>
      </c>
      <c r="O67" s="1" t="s">
        <v>51</v>
      </c>
    </row>
    <row r="68" spans="13:16" ht="18" customHeight="1" x14ac:dyDescent="0.3">
      <c r="M68" s="2" t="s">
        <v>138</v>
      </c>
      <c r="N68" s="20">
        <f t="shared" si="2"/>
        <v>0</v>
      </c>
      <c r="O68" s="1" t="s">
        <v>51</v>
      </c>
    </row>
    <row r="69" spans="13:16" ht="18" customHeight="1" x14ac:dyDescent="0.3">
      <c r="M69" s="2" t="s">
        <v>139</v>
      </c>
      <c r="N69" s="20">
        <f>T28*N63/($H$14+N63)</f>
        <v>0</v>
      </c>
      <c r="O69" s="1" t="s">
        <v>51</v>
      </c>
    </row>
    <row r="70" spans="13:16" ht="18" customHeight="1" x14ac:dyDescent="0.3">
      <c r="M70" s="2" t="s">
        <v>140</v>
      </c>
      <c r="N70" s="20">
        <f>T28-N69</f>
        <v>0</v>
      </c>
      <c r="O70" s="1" t="s">
        <v>51</v>
      </c>
    </row>
    <row r="71" spans="13:16" ht="18" customHeight="1" x14ac:dyDescent="0.3">
      <c r="M71" s="2" t="s">
        <v>141</v>
      </c>
      <c r="N71" s="20">
        <f>$H$15*T29/($H$15+N63+N63^2/$H$16+N63^3/($H$16*$H$17))</f>
        <v>0</v>
      </c>
      <c r="O71" s="6" t="s">
        <v>51</v>
      </c>
    </row>
    <row r="72" spans="13:16" ht="18" customHeight="1" x14ac:dyDescent="0.3">
      <c r="M72" s="2" t="s">
        <v>142</v>
      </c>
      <c r="N72" s="20">
        <f>$H$16*T29/($H$15*$H$16/N63+$H$16+N63+(N63^2)/$H$17)</f>
        <v>0</v>
      </c>
      <c r="O72" s="6" t="s">
        <v>51</v>
      </c>
    </row>
    <row r="73" spans="13:16" ht="18" customHeight="1" x14ac:dyDescent="0.3">
      <c r="M73" s="2" t="s">
        <v>143</v>
      </c>
      <c r="N73" s="20">
        <f>T29*$H$17/(N63+$H$17+$H$17*$H$16/N63+$H$17*$H$16*$H$15/(N63^2))</f>
        <v>0</v>
      </c>
      <c r="O73" s="6" t="s">
        <v>51</v>
      </c>
    </row>
    <row r="74" spans="13:16" ht="18" customHeight="1" x14ac:dyDescent="0.3">
      <c r="M74" s="2" t="s">
        <v>144</v>
      </c>
      <c r="N74" s="20">
        <f>T29-N71-N72-N73</f>
        <v>0</v>
      </c>
      <c r="O74" s="6" t="s">
        <v>51</v>
      </c>
      <c r="P74" s="6">
        <v>0</v>
      </c>
    </row>
    <row r="75" spans="13:16" ht="18" customHeight="1" x14ac:dyDescent="0.3">
      <c r="M75" s="2" t="s">
        <v>146</v>
      </c>
      <c r="N75" s="24">
        <f>T27*$H$13/($H$13+N63)</f>
        <v>7.9062202902343524E-3</v>
      </c>
      <c r="O75" s="1" t="s">
        <v>51</v>
      </c>
    </row>
    <row r="76" spans="13:16" ht="18" customHeight="1" x14ac:dyDescent="0.3">
      <c r="M76" s="2" t="s">
        <v>147</v>
      </c>
      <c r="N76" s="24">
        <f>T27-N75</f>
        <v>4.7033502805905562E-4</v>
      </c>
      <c r="O76" s="1" t="s">
        <v>51</v>
      </c>
    </row>
    <row r="77" spans="13:16" ht="18" customHeight="1" x14ac:dyDescent="0.3">
      <c r="M77" s="2" t="s">
        <v>148</v>
      </c>
      <c r="N77" s="23">
        <f>N63-N64-N65-N66-N67-N68+N69-3*N71-2*N72-N73+N78-N75</f>
        <v>0</v>
      </c>
      <c r="O77" s="1" t="s">
        <v>149</v>
      </c>
    </row>
    <row r="78" spans="13:16" ht="18" customHeight="1" x14ac:dyDescent="0.3">
      <c r="M78" s="2" t="s">
        <v>150</v>
      </c>
      <c r="N78" s="4">
        <v>2.3048296372779577E-2</v>
      </c>
      <c r="O78" s="1" t="s">
        <v>51</v>
      </c>
    </row>
    <row r="79" spans="13:16" ht="18" customHeight="1" x14ac:dyDescent="0.3">
      <c r="M79" s="2" t="s">
        <v>130</v>
      </c>
      <c r="N79" s="28">
        <v>0.04</v>
      </c>
      <c r="O79" s="1" t="s">
        <v>51</v>
      </c>
    </row>
    <row r="80" spans="13:16" ht="18" customHeight="1" x14ac:dyDescent="0.3">
      <c r="M80" s="2" t="s">
        <v>127</v>
      </c>
      <c r="N80" s="29">
        <f>N78+N79</f>
        <v>6.3048296372779575E-2</v>
      </c>
      <c r="O80" s="1" t="s">
        <v>51</v>
      </c>
    </row>
  </sheetData>
  <mergeCells count="9">
    <mergeCell ref="S1:U1"/>
    <mergeCell ref="G8:I8"/>
    <mergeCell ref="K22:M22"/>
    <mergeCell ref="O22:Q22"/>
    <mergeCell ref="M62:O62"/>
    <mergeCell ref="A1:C1"/>
    <mergeCell ref="G1:I1"/>
    <mergeCell ref="K1:M1"/>
    <mergeCell ref="O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9FE8-AF20-4AD9-995F-EED6EBCD7071}">
  <dimension ref="A1:C30"/>
  <sheetViews>
    <sheetView workbookViewId="0">
      <selection activeCell="B4" sqref="B4"/>
    </sheetView>
  </sheetViews>
  <sheetFormatPr defaultRowHeight="14.4" x14ac:dyDescent="0.3"/>
  <sheetData>
    <row r="1" spans="1:3" x14ac:dyDescent="0.3">
      <c r="A1" t="s">
        <v>153</v>
      </c>
      <c r="B1">
        <v>10</v>
      </c>
      <c r="C1" t="s">
        <v>154</v>
      </c>
    </row>
    <row r="2" spans="1:3" x14ac:dyDescent="0.3">
      <c r="A2" t="s">
        <v>155</v>
      </c>
      <c r="B2">
        <v>0.05</v>
      </c>
      <c r="C2" t="s">
        <v>156</v>
      </c>
    </row>
    <row r="3" spans="1:3" x14ac:dyDescent="0.3">
      <c r="A3" t="s">
        <v>157</v>
      </c>
      <c r="B3">
        <v>0.8</v>
      </c>
      <c r="C3" t="s">
        <v>156</v>
      </c>
    </row>
    <row r="5" spans="1:3" x14ac:dyDescent="0.3">
      <c r="A5" t="s">
        <v>158</v>
      </c>
      <c r="B5" t="s">
        <v>159</v>
      </c>
      <c r="C5" t="s">
        <v>160</v>
      </c>
    </row>
    <row r="6" spans="1:3" x14ac:dyDescent="0.3">
      <c r="A6">
        <v>2</v>
      </c>
      <c r="B6">
        <f>A6/(A6+$B$2+A6^2/$B$3)*$B$1</f>
        <v>2.8368794326241136</v>
      </c>
      <c r="C6">
        <f>A6/(A6+$B$2)*$B$1</f>
        <v>9.7560975609756113</v>
      </c>
    </row>
    <row r="7" spans="1:3" x14ac:dyDescent="0.3">
      <c r="A7">
        <f>A6-0.1</f>
        <v>1.9</v>
      </c>
      <c r="B7">
        <f t="shared" ref="B7:B24" si="0">A7/(A7+$B$2+A7^2/$B$3)*$B$1</f>
        <v>2.9400386847195357</v>
      </c>
      <c r="C7">
        <f t="shared" ref="C7:C24" si="1">A7/(A7+$B$2)*$B$1</f>
        <v>9.7435897435897427</v>
      </c>
    </row>
    <row r="8" spans="1:3" x14ac:dyDescent="0.3">
      <c r="A8">
        <f t="shared" ref="A8:A24" si="2">A7-0.1</f>
        <v>1.7999999999999998</v>
      </c>
      <c r="B8">
        <f t="shared" si="0"/>
        <v>3.050847457627119</v>
      </c>
      <c r="C8">
        <f t="shared" si="1"/>
        <v>9.7297297297297298</v>
      </c>
    </row>
    <row r="9" spans="1:3" x14ac:dyDescent="0.3">
      <c r="A9">
        <f t="shared" si="2"/>
        <v>1.6999999999999997</v>
      </c>
      <c r="B9">
        <f t="shared" si="0"/>
        <v>3.1701631701631703</v>
      </c>
      <c r="C9">
        <f t="shared" si="1"/>
        <v>9.7142857142857135</v>
      </c>
    </row>
    <row r="10" spans="1:3" x14ac:dyDescent="0.3">
      <c r="A10">
        <f t="shared" si="2"/>
        <v>1.5999999999999996</v>
      </c>
      <c r="B10">
        <f t="shared" si="0"/>
        <v>3.2989690721649492</v>
      </c>
      <c r="C10">
        <f t="shared" si="1"/>
        <v>9.6969696969696955</v>
      </c>
    </row>
    <row r="11" spans="1:3" x14ac:dyDescent="0.3">
      <c r="A11">
        <f t="shared" si="2"/>
        <v>1.4999999999999996</v>
      </c>
      <c r="B11">
        <f t="shared" si="0"/>
        <v>3.4383954154727796</v>
      </c>
      <c r="C11">
        <f t="shared" si="1"/>
        <v>9.6774193548387082</v>
      </c>
    </row>
    <row r="12" spans="1:3" x14ac:dyDescent="0.3">
      <c r="A12">
        <f t="shared" si="2"/>
        <v>1.3999999999999995</v>
      </c>
      <c r="B12">
        <f t="shared" si="0"/>
        <v>3.5897435897435903</v>
      </c>
      <c r="C12">
        <f t="shared" si="1"/>
        <v>9.6551724137931032</v>
      </c>
    </row>
    <row r="13" spans="1:3" x14ac:dyDescent="0.3">
      <c r="A13">
        <f t="shared" si="2"/>
        <v>1.2999999999999994</v>
      </c>
      <c r="B13">
        <f t="shared" si="0"/>
        <v>3.7545126353790619</v>
      </c>
      <c r="C13">
        <f t="shared" si="1"/>
        <v>9.6296296296296298</v>
      </c>
    </row>
    <row r="14" spans="1:3" x14ac:dyDescent="0.3">
      <c r="A14">
        <f t="shared" si="2"/>
        <v>1.1999999999999993</v>
      </c>
      <c r="B14">
        <f t="shared" si="0"/>
        <v>3.9344262295081984</v>
      </c>
      <c r="C14">
        <f t="shared" si="1"/>
        <v>9.6</v>
      </c>
    </row>
    <row r="15" spans="1:3" x14ac:dyDescent="0.3">
      <c r="A15">
        <f t="shared" si="2"/>
        <v>1.0999999999999992</v>
      </c>
      <c r="B15">
        <f t="shared" si="0"/>
        <v>4.1314553990610348</v>
      </c>
      <c r="C15">
        <f t="shared" si="1"/>
        <v>9.5652173913043477</v>
      </c>
    </row>
    <row r="16" spans="1:3" x14ac:dyDescent="0.3">
      <c r="A16">
        <f t="shared" si="2"/>
        <v>0.99999999999999922</v>
      </c>
      <c r="B16">
        <f t="shared" si="0"/>
        <v>4.3478260869565242</v>
      </c>
      <c r="C16">
        <f t="shared" si="1"/>
        <v>9.5238095238095237</v>
      </c>
    </row>
    <row r="17" spans="1:3" x14ac:dyDescent="0.3">
      <c r="A17">
        <f t="shared" si="2"/>
        <v>0.89999999999999925</v>
      </c>
      <c r="B17">
        <f t="shared" si="0"/>
        <v>4.5859872611464993</v>
      </c>
      <c r="C17">
        <f t="shared" si="1"/>
        <v>9.473684210526315</v>
      </c>
    </row>
    <row r="18" spans="1:3" x14ac:dyDescent="0.3">
      <c r="A18">
        <f t="shared" si="2"/>
        <v>0.79999999999999927</v>
      </c>
      <c r="B18">
        <f t="shared" si="0"/>
        <v>4.8484848484848513</v>
      </c>
      <c r="C18">
        <f t="shared" si="1"/>
        <v>9.4117647058823515</v>
      </c>
    </row>
    <row r="19" spans="1:3" x14ac:dyDescent="0.3">
      <c r="A19">
        <f t="shared" si="2"/>
        <v>0.69999999999999929</v>
      </c>
      <c r="B19">
        <f t="shared" si="0"/>
        <v>5.1376146788990855</v>
      </c>
      <c r="C19">
        <f t="shared" si="1"/>
        <v>9.3333333333333321</v>
      </c>
    </row>
    <row r="20" spans="1:3" x14ac:dyDescent="0.3">
      <c r="A20">
        <f t="shared" si="2"/>
        <v>0.59999999999999931</v>
      </c>
      <c r="B20">
        <f t="shared" si="0"/>
        <v>5.4545454545454568</v>
      </c>
      <c r="C20">
        <f t="shared" si="1"/>
        <v>9.2307692307692299</v>
      </c>
    </row>
    <row r="21" spans="1:3" x14ac:dyDescent="0.3">
      <c r="A21">
        <f t="shared" si="2"/>
        <v>0.49999999999999933</v>
      </c>
      <c r="B21">
        <f t="shared" si="0"/>
        <v>5.797101449275365</v>
      </c>
      <c r="C21">
        <f t="shared" si="1"/>
        <v>9.0909090909090899</v>
      </c>
    </row>
    <row r="22" spans="1:3" x14ac:dyDescent="0.3">
      <c r="A22">
        <f t="shared" si="2"/>
        <v>0.39999999999999936</v>
      </c>
      <c r="B22">
        <f t="shared" si="0"/>
        <v>6.1538461538461569</v>
      </c>
      <c r="C22">
        <f t="shared" si="1"/>
        <v>8.8888888888888875</v>
      </c>
    </row>
    <row r="23" spans="1:3" x14ac:dyDescent="0.3">
      <c r="A23">
        <f>A22-0.1</f>
        <v>0.29999999999999938</v>
      </c>
      <c r="B23">
        <f t="shared" si="0"/>
        <v>6.4864864864864877</v>
      </c>
      <c r="C23">
        <f t="shared" si="1"/>
        <v>8.5714285714285694</v>
      </c>
    </row>
    <row r="24" spans="1:3" x14ac:dyDescent="0.3">
      <c r="A24">
        <f t="shared" si="2"/>
        <v>0.19999999999999937</v>
      </c>
      <c r="B24">
        <f t="shared" si="0"/>
        <v>6.6666666666666679</v>
      </c>
      <c r="C24">
        <f t="shared" si="1"/>
        <v>7.9999999999999947</v>
      </c>
    </row>
    <row r="25" spans="1:3" x14ac:dyDescent="0.3">
      <c r="A25">
        <v>0.15</v>
      </c>
      <c r="B25">
        <f t="shared" ref="B25:B27" si="3">A25/(A25+$B$2+A25^2/$B$3)*$B$1</f>
        <v>6.5753424657534243</v>
      </c>
      <c r="C25">
        <f t="shared" ref="C25:C27" si="4">A25/(A25+$B$2)*$B$1</f>
        <v>7.4999999999999991</v>
      </c>
    </row>
    <row r="26" spans="1:3" x14ac:dyDescent="0.3">
      <c r="A26">
        <f>A24-0.1</f>
        <v>9.9999999999999367E-2</v>
      </c>
      <c r="B26">
        <f t="shared" si="3"/>
        <v>6.1538461538461453</v>
      </c>
      <c r="C26">
        <f t="shared" si="4"/>
        <v>6.6666666666666528</v>
      </c>
    </row>
    <row r="27" spans="1:3" x14ac:dyDescent="0.3">
      <c r="A27">
        <f>A26-0.05</f>
        <v>4.9999999999999364E-2</v>
      </c>
      <c r="B27">
        <f t="shared" si="3"/>
        <v>4.8484848484848202</v>
      </c>
      <c r="C27">
        <f t="shared" si="4"/>
        <v>4.999999999999968</v>
      </c>
    </row>
    <row r="28" spans="1:3" x14ac:dyDescent="0.3">
      <c r="A28">
        <v>2.5000000000000001E-2</v>
      </c>
      <c r="B28">
        <f t="shared" ref="B28:B30" si="5">A28/(A28+$B$2+A28^2/$B$3)*$B$1</f>
        <v>3.2989690721649483</v>
      </c>
      <c r="C28">
        <f t="shared" ref="C28:C30" si="6">A28/(A28+$B$2)*$B$1</f>
        <v>3.333333333333333</v>
      </c>
    </row>
    <row r="29" spans="1:3" x14ac:dyDescent="0.3">
      <c r="A29">
        <v>0.02</v>
      </c>
      <c r="B29">
        <f t="shared" si="5"/>
        <v>2.8368794326241131</v>
      </c>
      <c r="C29">
        <f t="shared" si="6"/>
        <v>2.8571428571428568</v>
      </c>
    </row>
    <row r="30" spans="1:3" x14ac:dyDescent="0.3">
      <c r="A30">
        <v>0.01</v>
      </c>
      <c r="B30">
        <f t="shared" si="5"/>
        <v>1.6632016632016631</v>
      </c>
      <c r="C30">
        <f t="shared" si="6"/>
        <v>1.6666666666666665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12</vt:i4>
      </vt:variant>
      <vt:variant>
        <vt:lpstr>Intervalli denominati</vt:lpstr>
      </vt:variant>
      <vt:variant>
        <vt:i4>11</vt:i4>
      </vt:variant>
    </vt:vector>
  </HeadingPairs>
  <TitlesOfParts>
    <vt:vector size="23" baseType="lpstr">
      <vt:lpstr>Template</vt:lpstr>
      <vt:lpstr>RES_20220413</vt:lpstr>
      <vt:lpstr>BMP_20220413_new</vt:lpstr>
      <vt:lpstr>BMP_20220413</vt:lpstr>
      <vt:lpstr>BMP_20220429</vt:lpstr>
      <vt:lpstr>HAc_20220401_F</vt:lpstr>
      <vt:lpstr>HAc_20220401_G</vt:lpstr>
      <vt:lpstr>HAc_20220506_H</vt:lpstr>
      <vt:lpstr>HPro_20220401_F</vt:lpstr>
      <vt:lpstr>HPro_20220401_G</vt:lpstr>
      <vt:lpstr>HPro_20220506_H</vt:lpstr>
      <vt:lpstr>Sheet1</vt:lpstr>
      <vt:lpstr>BMP_20220413!s_h_ion</vt:lpstr>
      <vt:lpstr>BMP_20220413_new!s_h_ion</vt:lpstr>
      <vt:lpstr>BMP_20220429!s_h_ion</vt:lpstr>
      <vt:lpstr>HAc_20220401_F!s_h_ion</vt:lpstr>
      <vt:lpstr>HAc_20220401_G!s_h_ion</vt:lpstr>
      <vt:lpstr>HAc_20220506_H!s_h_ion</vt:lpstr>
      <vt:lpstr>HPro_20220401_F!s_h_ion</vt:lpstr>
      <vt:lpstr>HPro_20220401_G!s_h_ion</vt:lpstr>
      <vt:lpstr>HPro_20220506_H!s_h_ion</vt:lpstr>
      <vt:lpstr>RES_20220413!s_h_ion</vt:lpstr>
      <vt:lpstr>Template!s_h_ion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Davide Carecci</cp:lastModifiedBy>
  <cp:revision/>
  <dcterms:created xsi:type="dcterms:W3CDTF">2023-08-10T13:01:20Z</dcterms:created>
  <dcterms:modified xsi:type="dcterms:W3CDTF">2023-11-27T07:32:16Z</dcterms:modified>
  <cp:category/>
  <cp:contentStatus/>
</cp:coreProperties>
</file>